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2" windowWidth="12120" windowHeight="9000" tabRatio="656"/>
  </bookViews>
  <sheets>
    <sheet name="Directions" sheetId="17" r:id="rId1"/>
    <sheet name="Tree" sheetId="9" r:id="rId2"/>
    <sheet name="Data" sheetId="16" state="hidden" r:id="rId3"/>
    <sheet name="Warning" sheetId="18" r:id="rId4"/>
  </sheets>
  <functionGroups builtInGroupCount="17"/>
  <externalReferences>
    <externalReference r:id="rId5"/>
    <externalReference r:id="rId6"/>
  </externalReferences>
  <definedNames>
    <definedName name="a">[1]E!$D$139</definedName>
    <definedName name="AgeCoef">[2]Devel!$C$8</definedName>
    <definedName name="AgeSqCoef">[2]Devel!$J$8</definedName>
    <definedName name="Averages">#REF!</definedName>
    <definedName name="b" localSheetId="3">[1]E!$D$140</definedName>
    <definedName name="b">#REF!</definedName>
    <definedName name="Binom" localSheetId="3">#REF!</definedName>
    <definedName name="BranchFormula">Data!$D$2:$D$65536</definedName>
    <definedName name="cc">[1]E!$D$141</definedName>
    <definedName name="column">Data!$J$2:$J$65536</definedName>
    <definedName name="Data">#REF!</definedName>
    <definedName name="Data2">#REF!</definedName>
    <definedName name="devs">[2]Devel!$K$13:$K$82</definedName>
    <definedName name="Dist1">#REF!</definedName>
    <definedName name="ExponentialData">#REF!</definedName>
    <definedName name="extremum">[2]Quadratic!$AC$17</definedName>
    <definedName name="FromLabel">Data!$B$2:$B$65536</definedName>
    <definedName name="FromValue">Data!$C$2:$C$65536</definedName>
    <definedName name="GrandMean">#REF!</definedName>
    <definedName name="Hist">#REF!</definedName>
    <definedName name="Level">Data!$H$2:$H$65536</definedName>
    <definedName name="Norm" localSheetId="3">#REF!</definedName>
    <definedName name="Number">Data!$A$2:$A$65536</definedName>
    <definedName name="old">[2]Dummy!$P$3</definedName>
    <definedName name="OldCoef">[2]Dummy!$P$27</definedName>
    <definedName name="OldCount">[2]Dummy!$Q$3</definedName>
    <definedName name="pAge">[2]Devel!$C$9</definedName>
    <definedName name="pAgeSq">[2]Devel!$J$9</definedName>
    <definedName name="Pois" localSheetId="3">#REF!</definedName>
    <definedName name="POld">[2]Dummy!$S$27</definedName>
    <definedName name="_xlnm.Print_Area">#REF!</definedName>
    <definedName name="PYoung">[2]Dummy!$S$26</definedName>
    <definedName name="rands">[2]Devel!$L$13:$L$82</definedName>
    <definedName name="ResGT2">[2]Quadratic!$N$2</definedName>
    <definedName name="row">Data!$I$2:$I$65536</definedName>
    <definedName name="ToLabel">Data!$E$2:$E$65536</definedName>
    <definedName name="ToType">Data!$G$2:$G$65536</definedName>
    <definedName name="ToValue">Data!$F$2:$F$65536</definedName>
    <definedName name="x">#REF!</definedName>
    <definedName name="Xstar">[1]E!$D$146</definedName>
    <definedName name="y">#REF!</definedName>
    <definedName name="young">[2]Dummy!$P$2</definedName>
    <definedName name="YoungCoef">[2]Dummy!$P$26</definedName>
    <definedName name="YoungCount">[2]Dummy!$Q$2</definedName>
  </definedNames>
  <calcPr calcId="145621"/>
</workbook>
</file>

<file path=xl/calcChain.xml><?xml version="1.0" encoding="utf-8"?>
<calcChain xmlns="http://schemas.openxmlformats.org/spreadsheetml/2006/main">
  <c r="J3" i="9" l="1"/>
  <c r="J7" i="9"/>
  <c r="G3" i="9"/>
  <c r="C5" i="16" s="1"/>
  <c r="J11" i="9"/>
  <c r="J15" i="9"/>
  <c r="C15" i="16" s="1"/>
  <c r="G11" i="9"/>
  <c r="C8" i="16" s="1"/>
  <c r="D3" i="9"/>
  <c r="E3" i="9" s="1"/>
  <c r="D3" i="16" s="1"/>
  <c r="F16" i="16"/>
  <c r="E16" i="16"/>
  <c r="D16" i="16"/>
  <c r="C16" i="16"/>
  <c r="B16" i="16"/>
  <c r="F15" i="16"/>
  <c r="E15" i="16"/>
  <c r="D15" i="16"/>
  <c r="B15" i="16"/>
  <c r="F14" i="16"/>
  <c r="E14" i="16"/>
  <c r="D14" i="16"/>
  <c r="C14" i="16"/>
  <c r="B14" i="16"/>
  <c r="F13" i="16"/>
  <c r="E13" i="16"/>
  <c r="D13" i="16"/>
  <c r="C13" i="16"/>
  <c r="B13" i="16"/>
  <c r="F12" i="16"/>
  <c r="E12" i="16"/>
  <c r="D12" i="16"/>
  <c r="C12" i="16"/>
  <c r="B12" i="16"/>
  <c r="F11" i="16"/>
  <c r="E11" i="16"/>
  <c r="D11" i="16"/>
  <c r="C11" i="16"/>
  <c r="B11" i="16"/>
  <c r="F10" i="16"/>
  <c r="E10" i="16"/>
  <c r="D10" i="16"/>
  <c r="C10" i="16"/>
  <c r="B10" i="16"/>
  <c r="F9" i="16"/>
  <c r="E9" i="16"/>
  <c r="D9" i="16"/>
  <c r="C9" i="16"/>
  <c r="B9" i="16"/>
  <c r="E8" i="16"/>
  <c r="D8" i="16"/>
  <c r="B8" i="16"/>
  <c r="F7" i="16"/>
  <c r="E7" i="16"/>
  <c r="D7" i="16"/>
  <c r="B7" i="16"/>
  <c r="F6" i="16"/>
  <c r="E6" i="16"/>
  <c r="D6" i="16"/>
  <c r="C6" i="16"/>
  <c r="B6" i="16"/>
  <c r="F5" i="16"/>
  <c r="E5" i="16"/>
  <c r="D5" i="16"/>
  <c r="B5" i="16"/>
  <c r="F4" i="16"/>
  <c r="E4" i="16"/>
  <c r="B4" i="16"/>
  <c r="F3" i="16"/>
  <c r="E3" i="16"/>
  <c r="B3" i="16"/>
  <c r="E2" i="16"/>
  <c r="C3" i="16" l="1"/>
  <c r="C7" i="16"/>
  <c r="F8" i="16"/>
  <c r="F2" i="16"/>
  <c r="E11" i="9"/>
  <c r="D4" i="16" s="1"/>
  <c r="C4" i="16"/>
</calcChain>
</file>

<file path=xl/sharedStrings.xml><?xml version="1.0" encoding="utf-8"?>
<sst xmlns="http://schemas.openxmlformats.org/spreadsheetml/2006/main" count="139" uniqueCount="116">
  <si>
    <t>Number</t>
  </si>
  <si>
    <t>Level</t>
  </si>
  <si>
    <t>ToLabel</t>
  </si>
  <si>
    <t>ToValue</t>
  </si>
  <si>
    <t>row</t>
  </si>
  <si>
    <t>column</t>
  </si>
  <si>
    <t>ToType</t>
  </si>
  <si>
    <t>Decision</t>
  </si>
  <si>
    <t>Terminal</t>
  </si>
  <si>
    <t>Probability</t>
  </si>
  <si>
    <t>FromLabel</t>
  </si>
  <si>
    <t>FromValue</t>
  </si>
  <si>
    <t>BranchFormula</t>
  </si>
  <si>
    <t>Node 1</t>
  </si>
  <si>
    <t xml:space="preserve"> John.O.McClain@cornell.edu</t>
  </si>
  <si>
    <t xml:space="preserve"> Johnson Graduate School of Management</t>
  </si>
  <si>
    <t xml:space="preserve"> Cornell University</t>
  </si>
  <si>
    <t xml:space="preserve"> Ithaca NY 14853</t>
  </si>
  <si>
    <t>This spreadsheet is intended for teaching purposes.  You are welcome  to use it in any manner,</t>
  </si>
  <si>
    <t>and change it as you see fit.  This model comes without any guarantee whatsoever, and is</t>
  </si>
  <si>
    <t>distributed free of charge.</t>
  </si>
  <si>
    <t>WARNING: YOU NEED TO CHANGE AN EXCEL SETTING</t>
  </si>
  <si>
    <t xml:space="preserve">If you are reading this, the Macros that make this file interactive ARE NOT WORKING. </t>
  </si>
  <si>
    <t>There are two possible causes for this malfunction.</t>
  </si>
  <si>
    <t>1.</t>
  </si>
  <si>
    <t xml:space="preserve">When you opened this file, you should have seen something similar to Figure 1. You probably made the wrong choice. </t>
  </si>
  <si>
    <t>Figure 1. What you should see when you open this file</t>
  </si>
  <si>
    <t>Figure 2. The Correct Security Level</t>
  </si>
  <si>
    <t>Here is what you should do:</t>
  </si>
  <si>
    <t>2.</t>
  </si>
  <si>
    <t>A.</t>
  </si>
  <si>
    <t>B.</t>
  </si>
  <si>
    <t>C.</t>
  </si>
  <si>
    <t xml:space="preserve">Start Excel and open this file. </t>
  </si>
  <si>
    <r>
      <t>Close</t>
    </r>
    <r>
      <rPr>
        <sz val="10"/>
        <rFont val="Arial"/>
        <family val="2"/>
      </rPr>
      <t xml:space="preserve"> this file. Then </t>
    </r>
    <r>
      <rPr>
        <b/>
        <sz val="10"/>
        <rFont val="Arial"/>
        <family val="2"/>
      </rPr>
      <t>open</t>
    </r>
    <r>
      <rPr>
        <sz val="10"/>
        <rFont val="Arial"/>
        <family val="2"/>
      </rPr>
      <t xml:space="preserve"> it again, and click </t>
    </r>
    <r>
      <rPr>
        <b/>
        <u/>
        <sz val="10"/>
        <rFont val="Arial"/>
        <family val="2"/>
      </rPr>
      <t>E</t>
    </r>
    <r>
      <rPr>
        <b/>
        <sz val="10"/>
        <rFont val="Arial"/>
        <family val="2"/>
      </rPr>
      <t>nable Macros</t>
    </r>
  </si>
  <si>
    <r>
      <t xml:space="preserve">If you </t>
    </r>
    <r>
      <rPr>
        <b/>
        <sz val="10"/>
        <rFont val="Arial"/>
        <family val="2"/>
      </rPr>
      <t>DID NOT</t>
    </r>
    <r>
      <rPr>
        <sz val="10"/>
        <rFont val="Arial"/>
        <family val="2"/>
      </rPr>
      <t xml:space="preserve"> get a message like the one above, then your security setting is too high.  </t>
    </r>
  </si>
  <si>
    <r>
      <t xml:space="preserve">On the menu bar at the top of this page, select </t>
    </r>
    <r>
      <rPr>
        <b/>
        <u/>
        <sz val="10"/>
        <rFont val="Arial"/>
        <family val="2"/>
      </rPr>
      <t>T</t>
    </r>
    <r>
      <rPr>
        <b/>
        <sz val="10"/>
        <rFont val="Arial"/>
        <family val="2"/>
      </rPr>
      <t>ools</t>
    </r>
    <r>
      <rPr>
        <sz val="10"/>
        <rFont val="Arial"/>
        <family val="2"/>
      </rPr>
      <t>, then</t>
    </r>
    <r>
      <rPr>
        <b/>
        <sz val="10"/>
        <rFont val="Arial"/>
        <family val="2"/>
      </rPr>
      <t xml:space="preserve"> </t>
    </r>
    <r>
      <rPr>
        <b/>
        <u/>
        <sz val="10"/>
        <rFont val="Arial"/>
        <family val="2"/>
      </rPr>
      <t>M</t>
    </r>
    <r>
      <rPr>
        <b/>
        <sz val="10"/>
        <rFont val="Arial"/>
        <family val="2"/>
      </rPr>
      <t>acro</t>
    </r>
    <r>
      <rPr>
        <sz val="10"/>
        <rFont val="Arial"/>
        <family val="2"/>
      </rPr>
      <t>, then</t>
    </r>
    <r>
      <rPr>
        <b/>
        <sz val="10"/>
        <rFont val="Arial"/>
        <family val="2"/>
      </rPr>
      <t xml:space="preserve"> </t>
    </r>
    <r>
      <rPr>
        <b/>
        <u/>
        <sz val="10"/>
        <rFont val="Arial"/>
        <family val="2"/>
      </rPr>
      <t>S</t>
    </r>
    <r>
      <rPr>
        <b/>
        <sz val="10"/>
        <rFont val="Arial"/>
        <family val="2"/>
      </rPr>
      <t>ecurity</t>
    </r>
    <r>
      <rPr>
        <sz val="10"/>
        <rFont val="Arial"/>
        <family val="2"/>
      </rPr>
      <t>. You should then see something similar to Figure 2.</t>
    </r>
  </si>
  <si>
    <r>
      <t xml:space="preserve">                                   Select </t>
    </r>
    <r>
      <rPr>
        <b/>
        <u/>
        <sz val="10"/>
        <rFont val="Arial"/>
        <family val="2"/>
      </rPr>
      <t>M</t>
    </r>
    <r>
      <rPr>
        <b/>
        <sz val="10"/>
        <rFont val="Arial"/>
        <family val="2"/>
      </rPr>
      <t>edium</t>
    </r>
    <r>
      <rPr>
        <sz val="10"/>
        <rFont val="Arial"/>
        <family val="2"/>
      </rPr>
      <t xml:space="preserve"> and click OK. </t>
    </r>
  </si>
  <si>
    <r>
      <t xml:space="preserve">Then exit from Excel. (Closing the file is </t>
    </r>
    <r>
      <rPr>
        <b/>
        <u/>
        <sz val="10"/>
        <rFont val="Arial"/>
        <family val="2"/>
      </rPr>
      <t>not</t>
    </r>
    <r>
      <rPr>
        <sz val="10"/>
        <rFont val="Arial"/>
        <family val="2"/>
      </rPr>
      <t xml:space="preserve"> enough. On the menu bar at the top of this page, select </t>
    </r>
    <r>
      <rPr>
        <b/>
        <u/>
        <sz val="10"/>
        <rFont val="Arial"/>
        <family val="2"/>
      </rPr>
      <t>F</t>
    </r>
    <r>
      <rPr>
        <b/>
        <sz val="10"/>
        <rFont val="Arial"/>
        <family val="2"/>
      </rPr>
      <t>ile</t>
    </r>
    <r>
      <rPr>
        <sz val="10"/>
        <rFont val="Arial"/>
        <family val="2"/>
      </rPr>
      <t>, and then</t>
    </r>
    <r>
      <rPr>
        <b/>
        <sz val="10"/>
        <rFont val="Arial"/>
        <family val="2"/>
      </rPr>
      <t xml:space="preserve"> E</t>
    </r>
    <r>
      <rPr>
        <b/>
        <u/>
        <sz val="10"/>
        <rFont val="Arial"/>
        <family val="2"/>
      </rPr>
      <t>x</t>
    </r>
    <r>
      <rPr>
        <b/>
        <sz val="10"/>
        <rFont val="Arial"/>
        <family val="2"/>
      </rPr>
      <t>it</t>
    </r>
    <r>
      <rPr>
        <sz val="10"/>
        <rFont val="Arial"/>
        <family val="2"/>
      </rPr>
      <t>.)</t>
    </r>
  </si>
  <si>
    <r>
      <t>Click</t>
    </r>
    <r>
      <rPr>
        <b/>
        <sz val="10"/>
        <rFont val="Arial"/>
        <family val="2"/>
      </rPr>
      <t xml:space="preserve"> </t>
    </r>
    <r>
      <rPr>
        <b/>
        <u/>
        <sz val="10"/>
        <rFont val="Arial"/>
        <family val="2"/>
      </rPr>
      <t>E</t>
    </r>
    <r>
      <rPr>
        <b/>
        <sz val="10"/>
        <rFont val="Arial"/>
        <family val="2"/>
      </rPr>
      <t>nable Macros</t>
    </r>
    <r>
      <rPr>
        <sz val="10"/>
        <rFont val="Arial"/>
        <family val="2"/>
      </rPr>
      <t>.</t>
    </r>
  </si>
  <si>
    <t>Constructing a Decision Tree with Built-in Formulas</t>
  </si>
  <si>
    <t>decision has been made, there may be any number of subsequent decisions. Moreover, the choices that</t>
  </si>
  <si>
    <t>are available for future decisions depend on past choices. A diagram is very helpful in keeping track of</t>
  </si>
  <si>
    <t>all of these details, and explaining the situation to others.</t>
  </si>
  <si>
    <t>The first choice would lead you to Node 2, where the payoff is 20.</t>
  </si>
  <si>
    <t xml:space="preserve">The second choice goes to Node 3, payoff 10. </t>
  </si>
  <si>
    <t>The third goes to Node 4, where the payoff is 10.4. (Explanation of this number is given below.)</t>
  </si>
  <si>
    <r>
      <t xml:space="preserve">The word </t>
    </r>
    <r>
      <rPr>
        <b/>
        <u val="double"/>
        <sz val="10"/>
        <color indexed="17"/>
        <rFont val="Arial"/>
        <family val="2"/>
      </rPr>
      <t>Yes</t>
    </r>
    <r>
      <rPr>
        <sz val="10"/>
        <rFont val="Arial"/>
        <family val="2"/>
      </rPr>
      <t xml:space="preserve"> appears on the first branch because it has the highest payoff.</t>
    </r>
  </si>
  <si>
    <t>The number 20 appears in Node 1 because that is what you get if you follow the best branch.</t>
  </si>
  <si>
    <r>
      <t xml:space="preserve">Node 1 is a </t>
    </r>
    <r>
      <rPr>
        <sz val="10"/>
        <color indexed="10"/>
        <rFont val="Arial"/>
        <family val="2"/>
      </rPr>
      <t>Decision Node</t>
    </r>
    <r>
      <rPr>
        <sz val="10"/>
        <rFont val="Arial"/>
        <family val="2"/>
      </rPr>
      <t>, which means that you may choose among the outgoing branches.</t>
    </r>
  </si>
  <si>
    <t>●</t>
  </si>
  <si>
    <t xml:space="preserve">Nodes 2, 3, 5 and 6 are Terminal Nodes. Nothing follows from them. </t>
  </si>
  <si>
    <t>Each terminal node has a payoff, and you (the decision maker) have to enter these values.</t>
  </si>
  <si>
    <r>
      <t xml:space="preserve">Node 4 is a </t>
    </r>
    <r>
      <rPr>
        <sz val="10"/>
        <color indexed="10"/>
        <rFont val="Arial"/>
        <family val="2"/>
      </rPr>
      <t>Probability Node</t>
    </r>
    <r>
      <rPr>
        <sz val="10"/>
        <rFont val="Arial"/>
        <family val="2"/>
      </rPr>
      <t>, which means that you CANNOT choose among the outgoing branches.</t>
    </r>
  </si>
  <si>
    <t>Only one of the branches out of Node 4 will happen, and that is a matter of chance.</t>
  </si>
  <si>
    <t>The probability of the first branch is 0.4 (or 40%) and if it happens you will go to Node 5 and get</t>
  </si>
  <si>
    <t>a payoff of -34. (That is, you will lose 34.)</t>
  </si>
  <si>
    <t>The probability of the second branch is 0.6, leading to Node 6, payoff 40.</t>
  </si>
  <si>
    <t>You have to supply the probabilities for these branches. They must add to 1.0.</t>
  </si>
  <si>
    <t>average, using the probabilities as weights. In this case, 0.4(-34) + 0.6(40) = 10.4.</t>
  </si>
  <si>
    <r>
      <t xml:space="preserve">The number 10.4 appears in Node 4. That is the </t>
    </r>
    <r>
      <rPr>
        <sz val="10"/>
        <color indexed="10"/>
        <rFont val="Arial"/>
        <family val="2"/>
      </rPr>
      <t>Expected Value of the Payoff</t>
    </r>
    <r>
      <rPr>
        <sz val="10"/>
        <rFont val="Arial"/>
        <family val="2"/>
      </rPr>
      <t>, which is a weighted</t>
    </r>
  </si>
  <si>
    <t>How to Construct a Decision Tree</t>
  </si>
  <si>
    <r>
      <t xml:space="preserve">The diagram below illustrates the three types of </t>
    </r>
    <r>
      <rPr>
        <sz val="10"/>
        <color indexed="10"/>
        <rFont val="Arial"/>
        <family val="2"/>
      </rPr>
      <t>Nodes</t>
    </r>
    <r>
      <rPr>
        <sz val="10"/>
        <rFont val="Arial"/>
        <family val="2"/>
      </rPr>
      <t xml:space="preserve"> on a Decision Tree:</t>
    </r>
  </si>
  <si>
    <t>Decision Nodes (Yellow), Probability Nodes (Blue) and Terminal Nodes (Gray).</t>
  </si>
  <si>
    <t>Changes can be made in two ways: right-click on a cell, or click the "Change Model" button.</t>
  </si>
  <si>
    <t>Link to Tree Worksheet</t>
  </si>
  <si>
    <t>Erase this Decision Tree and Build a New One</t>
  </si>
  <si>
    <r>
      <t xml:space="preserve">First, go to the "Tree" worksheet. </t>
    </r>
    <r>
      <rPr>
        <b/>
        <sz val="10"/>
        <rFont val="Arial"/>
        <family val="2"/>
      </rPr>
      <t xml:space="preserve">All work must be done there. </t>
    </r>
  </si>
  <si>
    <t>If you want to delete whatever is currently on the Tree sheet and start a new tree, here is how:</t>
  </si>
  <si>
    <t>Click "Change Model" (or right-click on an empty cell) and choose</t>
  </si>
  <si>
    <t>If you want to change a branch assignment between two Nodes, right-click on either node.</t>
  </si>
  <si>
    <t>You cannot change a branch in any other way. You must do it from one of the nodes that it connects.</t>
  </si>
  <si>
    <t>You may, however, enter probabilities directly on branches that lead out of Probability Nodes.</t>
  </si>
  <si>
    <t>A Node can be changed or deleted by right-clicking on it. This includes:</t>
  </si>
  <si>
    <t>&gt;</t>
  </si>
  <si>
    <t>Changing its "Type" (Decision, Probability or Terminal)</t>
  </si>
  <si>
    <t>Changing its "Successors" (a node reached directly through an outgoing branch)</t>
  </si>
  <si>
    <t>Changing its "Predecessor" (a node reached directly through an incoming branch)</t>
  </si>
  <si>
    <t xml:space="preserve"> (at most one predecessor is possible for each node)</t>
  </si>
  <si>
    <t>Deleting the node.</t>
  </si>
  <si>
    <t>Entering Data on a Decision Tree</t>
  </si>
  <si>
    <t>The entire model is re-written every time you use the right-click or the "Change Model" button.</t>
  </si>
  <si>
    <r>
      <t>Please Note:</t>
    </r>
    <r>
      <rPr>
        <sz val="10"/>
        <rFont val="Arial"/>
        <family val="2"/>
      </rPr>
      <t xml:space="preserve"> You can't modify the basic design by moving cells around or typing in new formulas.</t>
    </r>
  </si>
  <si>
    <t>There are only three kinds of Data that you enter on the Decision Tree:</t>
  </si>
  <si>
    <t xml:space="preserve">Names for each Node. </t>
  </si>
  <si>
    <t>Values for each Terminal Node.</t>
  </si>
  <si>
    <t>Probabilities for each branch leading out of a Probability Node.</t>
  </si>
  <si>
    <t>1)</t>
  </si>
  <si>
    <t>2)</t>
  </si>
  <si>
    <t>3)</t>
  </si>
  <si>
    <t>Each Node consists of two cells, side-by-side (solid color, with a border around both cells.)</t>
  </si>
  <si>
    <t xml:space="preserve">The right cell of Terminal nodes represent the payoffs at the end of the decisions. </t>
  </si>
  <si>
    <t>You must enter these values.</t>
  </si>
  <si>
    <r>
      <t>Warning:</t>
    </r>
    <r>
      <rPr>
        <sz val="10"/>
        <rFont val="Arial"/>
        <family val="2"/>
      </rPr>
      <t xml:space="preserve"> DON'T change the right cells of Decision or Probability Nodes. They contain formulas.</t>
    </r>
  </si>
  <si>
    <t>You enter the probabilities. They are located under each branch, in the column that is just to the right</t>
  </si>
  <si>
    <t>of the corresponding Probability Node. Make sure they add up to 1.0 for each Probability Node.</t>
  </si>
  <si>
    <r>
      <t>A Decision Tree</t>
    </r>
    <r>
      <rPr>
        <sz val="10"/>
        <rFont val="Arial"/>
        <family val="2"/>
      </rPr>
      <t xml:space="preserve"> represents a series of decisions that are linked through time. That is, after one</t>
    </r>
  </si>
  <si>
    <r>
      <t xml:space="preserve">The word </t>
    </r>
    <r>
      <rPr>
        <b/>
        <sz val="10"/>
        <color indexed="10"/>
        <rFont val="Arial"/>
        <family val="2"/>
      </rPr>
      <t>No</t>
    </r>
    <r>
      <rPr>
        <sz val="10"/>
        <rFont val="Arial"/>
        <family val="2"/>
      </rPr>
      <t xml:space="preserve"> appears on the other branches because their payoffs are lower.</t>
    </r>
  </si>
  <si>
    <t>The left cell contains the name (see diagram below). You may change any or all names as you see fit.</t>
  </si>
  <si>
    <r>
      <t xml:space="preserve">DecisionTree.xls </t>
    </r>
    <r>
      <rPr>
        <sz val="10"/>
        <color indexed="12"/>
        <rFont val="Arial"/>
        <family val="2"/>
      </rPr>
      <t xml:space="preserve">  Version 3.3     09/29/03</t>
    </r>
  </si>
  <si>
    <t>Node 4</t>
  </si>
  <si>
    <t>Node 5</t>
  </si>
  <si>
    <t>Node 6</t>
  </si>
  <si>
    <t>Node 7</t>
  </si>
  <si>
    <t>Node 8</t>
  </si>
  <si>
    <t>Node 9</t>
  </si>
  <si>
    <t>Node 10</t>
  </si>
  <si>
    <t>Node 11</t>
  </si>
  <si>
    <t>Node 12</t>
  </si>
  <si>
    <t>Node 13</t>
  </si>
  <si>
    <t>Node 14</t>
  </si>
  <si>
    <t>Node 15</t>
  </si>
  <si>
    <t>Option 1</t>
  </si>
  <si>
    <t>Option 2</t>
  </si>
  <si>
    <t>Exercise 6-2:</t>
  </si>
  <si>
    <t xml:space="preserve"> Unipart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</si>
</sst>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sz val="16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4"/>
      <color indexed="9"/>
      <name val="Arial"/>
      <family val="2"/>
    </font>
    <font>
      <b/>
      <sz val="12"/>
      <color indexed="12"/>
      <name val="Arial"/>
      <family val="2"/>
    </font>
    <font>
      <b/>
      <u/>
      <sz val="10"/>
      <name val="Arial"/>
      <family val="2"/>
    </font>
    <font>
      <b/>
      <u val="double"/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2"/>
      <color indexed="10"/>
      <name val="Arial"/>
      <family val="2"/>
    </font>
    <font>
      <b/>
      <u/>
      <sz val="10"/>
      <color indexed="1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NumberFormat="1" applyAlignment="1">
      <alignment horizontal="center"/>
    </xf>
    <xf numFmtId="0" fontId="5" fillId="0" borderId="2" xfId="0" applyFont="1" applyBorder="1" applyAlignment="1" applyProtection="1">
      <alignment horizontal="left"/>
    </xf>
    <xf numFmtId="0" fontId="0" fillId="0" borderId="2" xfId="0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center"/>
    </xf>
    <xf numFmtId="0" fontId="0" fillId="3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9" fillId="0" borderId="0" xfId="0" applyFont="1"/>
    <xf numFmtId="0" fontId="2" fillId="0" borderId="0" xfId="0" applyFont="1" applyAlignment="1"/>
    <xf numFmtId="0" fontId="3" fillId="0" borderId="0" xfId="0" applyFont="1" applyAlignment="1"/>
    <xf numFmtId="49" fontId="3" fillId="0" borderId="0" xfId="0" applyNumberFormat="1" applyFont="1" applyAlignment="1"/>
    <xf numFmtId="49" fontId="12" fillId="0" borderId="0" xfId="0" applyNumberFormat="1" applyFont="1" applyAlignment="1"/>
    <xf numFmtId="49" fontId="10" fillId="0" borderId="0" xfId="0" applyNumberFormat="1" applyFont="1" applyAlignment="1"/>
    <xf numFmtId="0" fontId="3" fillId="0" borderId="7" xfId="0" applyFont="1" applyBorder="1" applyAlignment="1"/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3" fillId="0" borderId="1" xfId="0" applyFont="1" applyBorder="1" applyAlignment="1"/>
    <xf numFmtId="0" fontId="3" fillId="0" borderId="10" xfId="0" applyFont="1" applyBorder="1" applyAlignment="1">
      <alignment horizontal="left"/>
    </xf>
    <xf numFmtId="0" fontId="3" fillId="0" borderId="11" xfId="0" applyFont="1" applyBorder="1" applyAlignment="1"/>
    <xf numFmtId="0" fontId="3" fillId="0" borderId="1" xfId="0" applyFont="1" applyFill="1" applyBorder="1" applyAlignment="1">
      <alignment horizontal="left" wrapText="1"/>
    </xf>
    <xf numFmtId="0" fontId="3" fillId="0" borderId="12" xfId="0" applyFont="1" applyFill="1" applyBorder="1" applyAlignment="1">
      <alignment horizontal="left" wrapText="1"/>
    </xf>
    <xf numFmtId="0" fontId="3" fillId="0" borderId="13" xfId="0" applyFont="1" applyBorder="1" applyAlignment="1">
      <alignment horizontal="left"/>
    </xf>
    <xf numFmtId="0" fontId="3" fillId="0" borderId="14" xfId="0" applyFont="1" applyBorder="1" applyAlignment="1"/>
    <xf numFmtId="0" fontId="3" fillId="0" borderId="0" xfId="0" applyFont="1" applyFill="1" applyBorder="1" applyAlignment="1">
      <alignment horizontal="left" wrapText="1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/>
    <xf numFmtId="0" fontId="4" fillId="0" borderId="0" xfId="0" applyFont="1" applyFill="1" applyBorder="1" applyAlignment="1">
      <alignment horizontal="left" wrapText="1"/>
    </xf>
    <xf numFmtId="0" fontId="3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3" fillId="0" borderId="0" xfId="0" applyFont="1" applyAlignment="1">
      <alignment wrapText="1"/>
    </xf>
    <xf numFmtId="0" fontId="8" fillId="5" borderId="15" xfId="0" applyFont="1" applyFill="1" applyBorder="1" applyAlignment="1">
      <alignment horizontal="centerContinuous"/>
    </xf>
    <xf numFmtId="0" fontId="8" fillId="5" borderId="16" xfId="0" applyFont="1" applyFill="1" applyBorder="1" applyAlignment="1">
      <alignment horizontal="centerContinuous"/>
    </xf>
    <xf numFmtId="0" fontId="8" fillId="5" borderId="17" xfId="0" applyFont="1" applyFill="1" applyBorder="1" applyAlignment="1">
      <alignment horizontal="centerContinuous"/>
    </xf>
    <xf numFmtId="0" fontId="7" fillId="5" borderId="18" xfId="0" applyFont="1" applyFill="1" applyBorder="1" applyAlignment="1">
      <alignment horizontal="centerContinuous"/>
    </xf>
    <xf numFmtId="0" fontId="7" fillId="5" borderId="0" xfId="0" applyFont="1" applyFill="1" applyBorder="1" applyAlignment="1">
      <alignment horizontal="centerContinuous"/>
    </xf>
    <xf numFmtId="0" fontId="7" fillId="5" borderId="19" xfId="0" applyFont="1" applyFill="1" applyBorder="1" applyAlignment="1">
      <alignment horizontal="centerContinuous"/>
    </xf>
    <xf numFmtId="0" fontId="7" fillId="5" borderId="20" xfId="0" applyFont="1" applyFill="1" applyBorder="1" applyAlignment="1">
      <alignment horizontal="centerContinuous"/>
    </xf>
    <xf numFmtId="0" fontId="7" fillId="5" borderId="21" xfId="0" applyFont="1" applyFill="1" applyBorder="1" applyAlignment="1">
      <alignment horizontal="centerContinuous"/>
    </xf>
    <xf numFmtId="0" fontId="7" fillId="5" borderId="22" xfId="0" applyFont="1" applyFill="1" applyBorder="1" applyAlignment="1">
      <alignment horizontal="centerContinuous"/>
    </xf>
    <xf numFmtId="0" fontId="3" fillId="0" borderId="0" xfId="0" applyFont="1"/>
    <xf numFmtId="0" fontId="0" fillId="0" borderId="0" xfId="0" applyAlignment="1">
      <alignment horizontal="right"/>
    </xf>
    <xf numFmtId="0" fontId="16" fillId="0" borderId="0" xfId="0" applyFont="1" applyAlignment="1">
      <alignment horizontal="center"/>
    </xf>
    <xf numFmtId="0" fontId="4" fillId="0" borderId="0" xfId="0" applyFont="1"/>
    <xf numFmtId="0" fontId="12" fillId="0" borderId="0" xfId="0" applyFont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19" fillId="0" borderId="0" xfId="0" applyFont="1"/>
    <xf numFmtId="0" fontId="19" fillId="7" borderId="23" xfId="0" applyFont="1" applyFill="1" applyBorder="1"/>
    <xf numFmtId="0" fontId="19" fillId="7" borderId="24" xfId="0" applyFont="1" applyFill="1" applyBorder="1"/>
    <xf numFmtId="0" fontId="6" fillId="0" borderId="0" xfId="1" applyAlignment="1" applyProtection="1">
      <alignment horizontal="center"/>
    </xf>
    <xf numFmtId="0" fontId="4" fillId="0" borderId="0" xfId="0" applyFont="1" applyFill="1" applyBorder="1" applyAlignment="1">
      <alignment horizontal="left" wrapText="1"/>
    </xf>
    <xf numFmtId="0" fontId="11" fillId="6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b/>
        <i val="0"/>
        <condense val="0"/>
        <extend val="0"/>
        <u val="double"/>
        <color indexed="1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45720</xdr:rowOff>
    </xdr:from>
    <xdr:to>
      <xdr:col>4</xdr:col>
      <xdr:colOff>22860</xdr:colOff>
      <xdr:row>5</xdr:row>
      <xdr:rowOff>76200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04800"/>
          <a:ext cx="693420" cy="701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4</xdr:col>
      <xdr:colOff>68580</xdr:colOff>
      <xdr:row>22</xdr:row>
      <xdr:rowOff>121920</xdr:rowOff>
    </xdr:from>
    <xdr:to>
      <xdr:col>12</xdr:col>
      <xdr:colOff>38100</xdr:colOff>
      <xdr:row>33</xdr:row>
      <xdr:rowOff>38100</xdr:rowOff>
    </xdr:to>
    <xdr:pic>
      <xdr:nvPicPr>
        <xdr:cNvPr id="10266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" y="4091940"/>
          <a:ext cx="4488180" cy="17602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68580</xdr:colOff>
      <xdr:row>79</xdr:row>
      <xdr:rowOff>121920</xdr:rowOff>
    </xdr:from>
    <xdr:to>
      <xdr:col>11</xdr:col>
      <xdr:colOff>403860</xdr:colOff>
      <xdr:row>90</xdr:row>
      <xdr:rowOff>38100</xdr:rowOff>
    </xdr:to>
    <xdr:pic>
      <xdr:nvPicPr>
        <xdr:cNvPr id="10267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" y="13952220"/>
          <a:ext cx="4495800" cy="17602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175260</xdr:colOff>
      <xdr:row>88</xdr:row>
      <xdr:rowOff>99060</xdr:rowOff>
    </xdr:from>
    <xdr:to>
      <xdr:col>7</xdr:col>
      <xdr:colOff>228600</xdr:colOff>
      <xdr:row>89</xdr:row>
      <xdr:rowOff>45720</xdr:rowOff>
    </xdr:to>
    <xdr:sp macro="" textlink="">
      <xdr:nvSpPr>
        <xdr:cNvPr id="10284" name="Line 44"/>
        <xdr:cNvSpPr>
          <a:spLocks noChangeShapeType="1"/>
        </xdr:cNvSpPr>
      </xdr:nvSpPr>
      <xdr:spPr bwMode="auto">
        <a:xfrm flipV="1">
          <a:off x="1897380" y="15438120"/>
          <a:ext cx="66294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114300</xdr:colOff>
      <xdr:row>86</xdr:row>
      <xdr:rowOff>68580</xdr:rowOff>
    </xdr:from>
    <xdr:to>
      <xdr:col>7</xdr:col>
      <xdr:colOff>266700</xdr:colOff>
      <xdr:row>89</xdr:row>
      <xdr:rowOff>45720</xdr:rowOff>
    </xdr:to>
    <xdr:sp macro="" textlink="">
      <xdr:nvSpPr>
        <xdr:cNvPr id="10285" name="Line 45"/>
        <xdr:cNvSpPr>
          <a:spLocks noChangeShapeType="1"/>
        </xdr:cNvSpPr>
      </xdr:nvSpPr>
      <xdr:spPr bwMode="auto">
        <a:xfrm flipV="1">
          <a:off x="1836420" y="15072360"/>
          <a:ext cx="762000" cy="4800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30480</xdr:colOff>
      <xdr:row>88</xdr:row>
      <xdr:rowOff>22860</xdr:rowOff>
    </xdr:from>
    <xdr:to>
      <xdr:col>6</xdr:col>
      <xdr:colOff>259080</xdr:colOff>
      <xdr:row>89</xdr:row>
      <xdr:rowOff>60960</xdr:rowOff>
    </xdr:to>
    <xdr:sp macro="" textlink="">
      <xdr:nvSpPr>
        <xdr:cNvPr id="10283" name="Text Box 43"/>
        <xdr:cNvSpPr txBox="1">
          <a:spLocks noChangeArrowheads="1"/>
        </xdr:cNvSpPr>
      </xdr:nvSpPr>
      <xdr:spPr bwMode="auto">
        <a:xfrm>
          <a:off x="1143000" y="15361920"/>
          <a:ext cx="838200" cy="2057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Probabilities</a:t>
          </a:r>
        </a:p>
      </xdr:txBody>
    </xdr:sp>
    <xdr:clientData/>
  </xdr:twoCellAnchor>
  <xdr:twoCellAnchor>
    <xdr:from>
      <xdr:col>2</xdr:col>
      <xdr:colOff>30480</xdr:colOff>
      <xdr:row>76</xdr:row>
      <xdr:rowOff>60960</xdr:rowOff>
    </xdr:from>
    <xdr:to>
      <xdr:col>5</xdr:col>
      <xdr:colOff>304800</xdr:colOff>
      <xdr:row>81</xdr:row>
      <xdr:rowOff>137160</xdr:rowOff>
    </xdr:to>
    <xdr:grpSp>
      <xdr:nvGrpSpPr>
        <xdr:cNvPr id="10286" name="Group 46"/>
        <xdr:cNvGrpSpPr>
          <a:grpSpLocks/>
        </xdr:cNvGrpSpPr>
      </xdr:nvGrpSpPr>
      <xdr:grpSpPr bwMode="auto">
        <a:xfrm>
          <a:off x="386080" y="13224510"/>
          <a:ext cx="1036320" cy="901700"/>
          <a:chOff x="40" y="1357"/>
          <a:chExt cx="107" cy="93"/>
        </a:xfrm>
      </xdr:grpSpPr>
      <xdr:sp macro="" textlink="">
        <xdr:nvSpPr>
          <xdr:cNvPr id="10269" name="Line 29"/>
          <xdr:cNvSpPr>
            <a:spLocks noChangeShapeType="1"/>
          </xdr:cNvSpPr>
        </xdr:nvSpPr>
        <xdr:spPr bwMode="auto">
          <a:xfrm>
            <a:off x="49" y="1387"/>
            <a:ext cx="48" cy="6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70" name="Line 30"/>
          <xdr:cNvSpPr>
            <a:spLocks noChangeShapeType="1"/>
          </xdr:cNvSpPr>
        </xdr:nvSpPr>
        <xdr:spPr bwMode="auto">
          <a:xfrm>
            <a:off x="92" y="1389"/>
            <a:ext cx="45" cy="5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68" name="Text Box 28"/>
          <xdr:cNvSpPr txBox="1">
            <a:spLocks noChangeArrowheads="1"/>
          </xdr:cNvSpPr>
        </xdr:nvSpPr>
        <xdr:spPr bwMode="auto">
          <a:xfrm>
            <a:off x="40" y="1357"/>
            <a:ext cx="107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Decision Node</a:t>
            </a:r>
            <a:endParaRPr lang="en-US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Name  Formula</a:t>
            </a:r>
          </a:p>
        </xdr:txBody>
      </xdr:sp>
    </xdr:grpSp>
    <xdr:clientData/>
  </xdr:twoCellAnchor>
  <xdr:twoCellAnchor>
    <xdr:from>
      <xdr:col>5</xdr:col>
      <xdr:colOff>464820</xdr:colOff>
      <xdr:row>76</xdr:row>
      <xdr:rowOff>45720</xdr:rowOff>
    </xdr:from>
    <xdr:to>
      <xdr:col>7</xdr:col>
      <xdr:colOff>335280</xdr:colOff>
      <xdr:row>86</xdr:row>
      <xdr:rowOff>60960</xdr:rowOff>
    </xdr:to>
    <xdr:grpSp>
      <xdr:nvGrpSpPr>
        <xdr:cNvPr id="10287" name="Group 47"/>
        <xdr:cNvGrpSpPr>
          <a:grpSpLocks/>
        </xdr:cNvGrpSpPr>
      </xdr:nvGrpSpPr>
      <xdr:grpSpPr bwMode="auto">
        <a:xfrm>
          <a:off x="1582420" y="13209270"/>
          <a:ext cx="1089660" cy="1666240"/>
          <a:chOff x="164" y="1356"/>
          <a:chExt cx="114" cy="171"/>
        </a:xfrm>
      </xdr:grpSpPr>
      <xdr:sp macro="" textlink="">
        <xdr:nvSpPr>
          <xdr:cNvPr id="10274" name="Line 34"/>
          <xdr:cNvSpPr>
            <a:spLocks noChangeShapeType="1"/>
          </xdr:cNvSpPr>
        </xdr:nvSpPr>
        <xdr:spPr bwMode="auto">
          <a:xfrm>
            <a:off x="173" y="1386"/>
            <a:ext cx="24" cy="14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75" name="Line 35"/>
          <xdr:cNvSpPr>
            <a:spLocks noChangeShapeType="1"/>
          </xdr:cNvSpPr>
        </xdr:nvSpPr>
        <xdr:spPr bwMode="auto">
          <a:xfrm>
            <a:off x="216" y="1388"/>
            <a:ext cx="24" cy="13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73" name="Text Box 33"/>
          <xdr:cNvSpPr txBox="1">
            <a:spLocks noChangeArrowheads="1"/>
          </xdr:cNvSpPr>
        </xdr:nvSpPr>
        <xdr:spPr bwMode="auto">
          <a:xfrm>
            <a:off x="164" y="1356"/>
            <a:ext cx="114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Probability Node</a:t>
            </a:r>
            <a:endParaRPr lang="en-US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Name  Formula</a:t>
            </a:r>
          </a:p>
        </xdr:txBody>
      </xdr:sp>
    </xdr:grpSp>
    <xdr:clientData/>
  </xdr:twoCellAnchor>
  <xdr:twoCellAnchor>
    <xdr:from>
      <xdr:col>8</xdr:col>
      <xdr:colOff>152400</xdr:colOff>
      <xdr:row>76</xdr:row>
      <xdr:rowOff>60960</xdr:rowOff>
    </xdr:from>
    <xdr:to>
      <xdr:col>10</xdr:col>
      <xdr:colOff>114300</xdr:colOff>
      <xdr:row>81</xdr:row>
      <xdr:rowOff>137160</xdr:rowOff>
    </xdr:to>
    <xdr:grpSp>
      <xdr:nvGrpSpPr>
        <xdr:cNvPr id="10288" name="Group 48"/>
        <xdr:cNvGrpSpPr>
          <a:grpSpLocks/>
        </xdr:cNvGrpSpPr>
      </xdr:nvGrpSpPr>
      <xdr:grpSpPr bwMode="auto">
        <a:xfrm>
          <a:off x="3098800" y="13224510"/>
          <a:ext cx="1181100" cy="901700"/>
          <a:chOff x="323" y="1357"/>
          <a:chExt cx="124" cy="93"/>
        </a:xfrm>
      </xdr:grpSpPr>
      <xdr:sp macro="" textlink="">
        <xdr:nvSpPr>
          <xdr:cNvPr id="10279" name="Line 39"/>
          <xdr:cNvSpPr>
            <a:spLocks noChangeShapeType="1"/>
          </xdr:cNvSpPr>
        </xdr:nvSpPr>
        <xdr:spPr bwMode="auto">
          <a:xfrm flipH="1">
            <a:off x="323" y="1387"/>
            <a:ext cx="26" cy="6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80" name="Line 40"/>
          <xdr:cNvSpPr>
            <a:spLocks noChangeShapeType="1"/>
          </xdr:cNvSpPr>
        </xdr:nvSpPr>
        <xdr:spPr bwMode="auto">
          <a:xfrm flipH="1">
            <a:off x="356" y="1389"/>
            <a:ext cx="36" cy="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78" name="Text Box 38"/>
          <xdr:cNvSpPr txBox="1">
            <a:spLocks noChangeArrowheads="1"/>
          </xdr:cNvSpPr>
        </xdr:nvSpPr>
        <xdr:spPr bwMode="auto">
          <a:xfrm>
            <a:off x="340" y="1357"/>
            <a:ext cx="107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Terminal Node</a:t>
            </a:r>
            <a:endParaRPr lang="en-US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Name  Value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38100</xdr:rowOff>
    </xdr:from>
    <xdr:to>
      <xdr:col>8</xdr:col>
      <xdr:colOff>114300</xdr:colOff>
      <xdr:row>1</xdr:row>
      <xdr:rowOff>129540</xdr:rowOff>
    </xdr:to>
    <xdr:grpSp>
      <xdr:nvGrpSpPr>
        <xdr:cNvPr id="6248" name="Group 104"/>
        <xdr:cNvGrpSpPr>
          <a:grpSpLocks/>
        </xdr:cNvGrpSpPr>
      </xdr:nvGrpSpPr>
      <xdr:grpSpPr bwMode="auto">
        <a:xfrm>
          <a:off x="365760" y="38100"/>
          <a:ext cx="4297680" cy="259080"/>
          <a:chOff x="38" y="4"/>
          <a:chExt cx="439" cy="26"/>
        </a:xfrm>
      </xdr:grpSpPr>
      <xdr:sp macro="" textlink="">
        <xdr:nvSpPr>
          <xdr:cNvPr id="6247" name="Text Box 103"/>
          <xdr:cNvSpPr txBox="1">
            <a:spLocks noChangeArrowheads="1"/>
          </xdr:cNvSpPr>
        </xdr:nvSpPr>
        <xdr:spPr bwMode="auto">
          <a:xfrm>
            <a:off x="41" y="4"/>
            <a:ext cx="349" cy="2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Now                                                                      Future</a:t>
            </a:r>
          </a:p>
        </xdr:txBody>
      </xdr:sp>
      <xdr:sp macro="" textlink="">
        <xdr:nvSpPr>
          <xdr:cNvPr id="6246" name="Line 102"/>
          <xdr:cNvSpPr>
            <a:spLocks noChangeShapeType="1"/>
          </xdr:cNvSpPr>
        </xdr:nvSpPr>
        <xdr:spPr bwMode="auto">
          <a:xfrm>
            <a:off x="38" y="21"/>
            <a:ext cx="4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0</xdr:row>
          <xdr:rowOff>60960</xdr:rowOff>
        </xdr:from>
        <xdr:to>
          <xdr:col>5</xdr:col>
          <xdr:colOff>60960</xdr:colOff>
          <xdr:row>1</xdr:row>
          <xdr:rowOff>91440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99060</xdr:colOff>
      <xdr:row>8</xdr:row>
      <xdr:rowOff>38100</xdr:rowOff>
    </xdr:from>
    <xdr:to>
      <xdr:col>3</xdr:col>
      <xdr:colOff>3764280</xdr:colOff>
      <xdr:row>19</xdr:row>
      <xdr:rowOff>45720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1341120"/>
          <a:ext cx="3878580" cy="1851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1935480</xdr:colOff>
      <xdr:row>18</xdr:row>
      <xdr:rowOff>60960</xdr:rowOff>
    </xdr:from>
    <xdr:to>
      <xdr:col>3</xdr:col>
      <xdr:colOff>2628900</xdr:colOff>
      <xdr:row>22</xdr:row>
      <xdr:rowOff>22860</xdr:rowOff>
    </xdr:to>
    <xdr:sp macro="" textlink="">
      <xdr:nvSpPr>
        <xdr:cNvPr id="11266" name="Line 2"/>
        <xdr:cNvSpPr>
          <a:spLocks noChangeShapeType="1"/>
        </xdr:cNvSpPr>
      </xdr:nvSpPr>
      <xdr:spPr bwMode="auto">
        <a:xfrm flipH="1" flipV="1">
          <a:off x="2385060" y="3040380"/>
          <a:ext cx="693420" cy="54102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106680</xdr:colOff>
      <xdr:row>8</xdr:row>
      <xdr:rowOff>30480</xdr:rowOff>
    </xdr:from>
    <xdr:to>
      <xdr:col>4</xdr:col>
      <xdr:colOff>3573780</xdr:colOff>
      <xdr:row>19</xdr:row>
      <xdr:rowOff>137160</xdr:rowOff>
    </xdr:to>
    <xdr:pic>
      <xdr:nvPicPr>
        <xdr:cNvPr id="1126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5901"/>
        <a:stretch>
          <a:fillRect/>
        </a:stretch>
      </xdr:blipFill>
      <xdr:spPr bwMode="auto">
        <a:xfrm>
          <a:off x="4457700" y="1333500"/>
          <a:ext cx="3467100" cy="195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2110740</xdr:colOff>
      <xdr:row>14</xdr:row>
      <xdr:rowOff>129540</xdr:rowOff>
    </xdr:from>
    <xdr:to>
      <xdr:col>4</xdr:col>
      <xdr:colOff>281940</xdr:colOff>
      <xdr:row>27</xdr:row>
      <xdr:rowOff>30480</xdr:rowOff>
    </xdr:to>
    <xdr:sp macro="" textlink="">
      <xdr:nvSpPr>
        <xdr:cNvPr id="11268" name="Line 4"/>
        <xdr:cNvSpPr>
          <a:spLocks noChangeShapeType="1"/>
        </xdr:cNvSpPr>
      </xdr:nvSpPr>
      <xdr:spPr bwMode="auto">
        <a:xfrm flipV="1">
          <a:off x="2560320" y="2438400"/>
          <a:ext cx="2072640" cy="201168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807720</xdr:colOff>
      <xdr:row>18</xdr:row>
      <xdr:rowOff>91440</xdr:rowOff>
    </xdr:from>
    <xdr:to>
      <xdr:col>3</xdr:col>
      <xdr:colOff>1706880</xdr:colOff>
      <xdr:row>30</xdr:row>
      <xdr:rowOff>45720</xdr:rowOff>
    </xdr:to>
    <xdr:sp macro="" textlink="">
      <xdr:nvSpPr>
        <xdr:cNvPr id="11269" name="Line 5"/>
        <xdr:cNvSpPr>
          <a:spLocks noChangeShapeType="1"/>
        </xdr:cNvSpPr>
      </xdr:nvSpPr>
      <xdr:spPr bwMode="auto">
        <a:xfrm flipV="1">
          <a:off x="1257300" y="3070860"/>
          <a:ext cx="899160" cy="189738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U.O.L\ABCDEF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DESKTOP\16OutWrkF9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F"/>
      <sheetName val="F x"/>
      <sheetName val="F (3)"/>
      <sheetName val="F (4)"/>
    </sheetNames>
    <sheetDataSet>
      <sheetData sheetId="0"/>
      <sheetData sheetId="1"/>
      <sheetData sheetId="2"/>
      <sheetData sheetId="3"/>
      <sheetData sheetId="4">
        <row r="139">
          <cell r="D139">
            <v>3</v>
          </cell>
        </row>
        <row r="140">
          <cell r="D140">
            <v>-24</v>
          </cell>
        </row>
        <row r="141">
          <cell r="D141">
            <v>45</v>
          </cell>
        </row>
        <row r="146">
          <cell r="D146">
            <v>4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DialVars"/>
      <sheetName val="OutOfWork"/>
      <sheetName val="Question"/>
      <sheetName val="Solution"/>
      <sheetName val="Devel"/>
      <sheetName val="Linear"/>
      <sheetName val="Quadratic"/>
      <sheetName val="SimpAge"/>
      <sheetName val="Dummy"/>
      <sheetName val="ConfInt"/>
    </sheetNames>
    <sheetDataSet>
      <sheetData sheetId="0" refreshError="1"/>
      <sheetData sheetId="1"/>
      <sheetData sheetId="2"/>
      <sheetData sheetId="3"/>
      <sheetData sheetId="4"/>
      <sheetData sheetId="5">
        <row r="8">
          <cell r="C8">
            <v>0.70892867141638893</v>
          </cell>
          <cell r="J8">
            <v>-9.1967902828151836E-4</v>
          </cell>
        </row>
        <row r="9">
          <cell r="C9">
            <v>0.55651707216241353</v>
          </cell>
          <cell r="J9">
            <v>0.9578039871119034</v>
          </cell>
        </row>
        <row r="13">
          <cell r="K13">
            <v>-1.2785926628566813</v>
          </cell>
          <cell r="L13">
            <v>0.45820911509508733</v>
          </cell>
        </row>
        <row r="14">
          <cell r="K14">
            <v>-1.0373196346336044</v>
          </cell>
          <cell r="L14">
            <v>0.76426431405707262</v>
          </cell>
        </row>
        <row r="15">
          <cell r="K15">
            <v>-0.55009422794682905</v>
          </cell>
          <cell r="L15">
            <v>-0.25101826395257376</v>
          </cell>
        </row>
        <row r="16">
          <cell r="K16">
            <v>2.3849497665651143</v>
          </cell>
          <cell r="L16">
            <v>0.56840463003027253</v>
          </cell>
        </row>
        <row r="17">
          <cell r="K17">
            <v>-0.14829311112407595</v>
          </cell>
          <cell r="L17">
            <v>-0.86733734860899858</v>
          </cell>
        </row>
        <row r="18">
          <cell r="K18">
            <v>0.18648620425665285</v>
          </cell>
          <cell r="L18">
            <v>0.18583591554488521</v>
          </cell>
        </row>
        <row r="19">
          <cell r="K19">
            <v>1.7031561583280563</v>
          </cell>
          <cell r="L19">
            <v>-1.0038866093964316</v>
          </cell>
        </row>
        <row r="20">
          <cell r="K20">
            <v>0.60999582274234854</v>
          </cell>
          <cell r="L20">
            <v>0.61682840168941766</v>
          </cell>
        </row>
        <row r="21">
          <cell r="K21">
            <v>-0.42203282646369189</v>
          </cell>
          <cell r="L21">
            <v>1.2408963812049478</v>
          </cell>
        </row>
        <row r="22">
          <cell r="K22">
            <v>-0.15049295143398922</v>
          </cell>
          <cell r="L22">
            <v>-1.0529629435040988</v>
          </cell>
        </row>
        <row r="23">
          <cell r="K23">
            <v>-0.98469627118902281</v>
          </cell>
          <cell r="L23">
            <v>-0.44586272451851983</v>
          </cell>
        </row>
        <row r="24">
          <cell r="K24">
            <v>-0.39709789234620985</v>
          </cell>
          <cell r="L24">
            <v>0.5247159151622327</v>
          </cell>
        </row>
        <row r="25">
          <cell r="K25">
            <v>-1.483685991843231</v>
          </cell>
          <cell r="L25">
            <v>-1.1631527740973979</v>
          </cell>
        </row>
        <row r="26">
          <cell r="K26">
            <v>-0.39325868783635087</v>
          </cell>
          <cell r="L26">
            <v>1.6235298971878365</v>
          </cell>
        </row>
        <row r="27">
          <cell r="K27">
            <v>-0.79957999332691543</v>
          </cell>
          <cell r="L27">
            <v>1.9963408703915775E-2</v>
          </cell>
        </row>
        <row r="28">
          <cell r="K28">
            <v>1.6089052223833278</v>
          </cell>
          <cell r="L28">
            <v>0.82760607256204821</v>
          </cell>
        </row>
        <row r="29">
          <cell r="K29">
            <v>-0.45837396100978367</v>
          </cell>
          <cell r="L29">
            <v>0.95429868451901712</v>
          </cell>
        </row>
        <row r="30">
          <cell r="K30">
            <v>0.44013404476572759</v>
          </cell>
          <cell r="L30">
            <v>0.38154666981426999</v>
          </cell>
        </row>
        <row r="31">
          <cell r="K31">
            <v>-0.19592562239267863</v>
          </cell>
          <cell r="L31">
            <v>-1.3470162230078131</v>
          </cell>
        </row>
        <row r="32">
          <cell r="K32">
            <v>0.91006086222478189</v>
          </cell>
          <cell r="L32">
            <v>-6.9474026531679556E-2</v>
          </cell>
        </row>
        <row r="33">
          <cell r="K33">
            <v>-0.42384272092022002</v>
          </cell>
          <cell r="L33">
            <v>-8.2203541751368903E-2</v>
          </cell>
        </row>
        <row r="34">
          <cell r="K34">
            <v>-0.4524804353422951</v>
          </cell>
          <cell r="L34">
            <v>1.857001734606456</v>
          </cell>
        </row>
        <row r="35">
          <cell r="K35">
            <v>-2.9319835448404774E-3</v>
          </cell>
          <cell r="L35">
            <v>3.5256380215287209</v>
          </cell>
        </row>
        <row r="36">
          <cell r="K36">
            <v>-0.73080173024209216</v>
          </cell>
          <cell r="L36">
            <v>-0.65848553276737221</v>
          </cell>
        </row>
        <row r="37">
          <cell r="K37">
            <v>-2.2501808416564018</v>
          </cell>
          <cell r="L37">
            <v>-2.345550456084311</v>
          </cell>
        </row>
        <row r="38">
          <cell r="K38">
            <v>-0.286772774416022</v>
          </cell>
          <cell r="L38">
            <v>0.16304397831845563</v>
          </cell>
        </row>
        <row r="39">
          <cell r="K39">
            <v>-7.0076566771604121E-3</v>
          </cell>
          <cell r="L39">
            <v>-1.9002709450433031</v>
          </cell>
        </row>
        <row r="40">
          <cell r="K40">
            <v>-0.32984189601847902</v>
          </cell>
          <cell r="L40">
            <v>-0.12629698176169768</v>
          </cell>
        </row>
        <row r="41">
          <cell r="K41">
            <v>-0.79512687989335973</v>
          </cell>
          <cell r="L41">
            <v>0.17744469005265273</v>
          </cell>
        </row>
        <row r="42">
          <cell r="K42">
            <v>3.1016043067211285E-2</v>
          </cell>
          <cell r="L42">
            <v>1.2691543815890327</v>
          </cell>
        </row>
        <row r="43">
          <cell r="K43">
            <v>0.60900447351741605</v>
          </cell>
          <cell r="L43">
            <v>-0.91368292487459257</v>
          </cell>
        </row>
        <row r="44">
          <cell r="K44">
            <v>1.7297588783549145</v>
          </cell>
          <cell r="L44">
            <v>-0.68270537667558528</v>
          </cell>
        </row>
        <row r="45">
          <cell r="K45">
            <v>4.3207819544477388E-2</v>
          </cell>
          <cell r="L45">
            <v>0.40046643334790133</v>
          </cell>
        </row>
        <row r="46">
          <cell r="K46">
            <v>-0.91208221419947222</v>
          </cell>
          <cell r="L46">
            <v>1.4446277418755926</v>
          </cell>
        </row>
        <row r="47">
          <cell r="K47">
            <v>0.90713683675858192</v>
          </cell>
          <cell r="L47">
            <v>2.2717722458764911</v>
          </cell>
        </row>
        <row r="48">
          <cell r="K48">
            <v>0.67594783104141243</v>
          </cell>
          <cell r="L48">
            <v>1.9298749975860119</v>
          </cell>
        </row>
        <row r="49">
          <cell r="K49">
            <v>-1.0200778888247442</v>
          </cell>
          <cell r="L49">
            <v>0.38446842154371552</v>
          </cell>
        </row>
        <row r="50">
          <cell r="K50">
            <v>0.62437720771413296</v>
          </cell>
          <cell r="L50">
            <v>-0.49598725126998033</v>
          </cell>
        </row>
        <row r="51">
          <cell r="K51">
            <v>-0.43475210986798629</v>
          </cell>
          <cell r="L51">
            <v>-1.0755275070550852</v>
          </cell>
        </row>
        <row r="52">
          <cell r="K52">
            <v>-0.76391188486013561</v>
          </cell>
          <cell r="L52">
            <v>-1.099940618587425</v>
          </cell>
        </row>
        <row r="53">
          <cell r="K53">
            <v>-0.43340378397260793</v>
          </cell>
          <cell r="L53">
            <v>-0.24745986593188718</v>
          </cell>
        </row>
        <row r="54">
          <cell r="K54">
            <v>-0.65978611019090749</v>
          </cell>
          <cell r="L54">
            <v>-1.5667637853766792</v>
          </cell>
        </row>
        <row r="55">
          <cell r="K55">
            <v>0.30899059311195742</v>
          </cell>
          <cell r="L55">
            <v>0.41048451748793013</v>
          </cell>
        </row>
        <row r="56">
          <cell r="K56">
            <v>-9.279233381676022E-2</v>
          </cell>
          <cell r="L56">
            <v>0.51293682190589607</v>
          </cell>
        </row>
        <row r="57">
          <cell r="K57">
            <v>0.17130560081568547</v>
          </cell>
          <cell r="L57">
            <v>-0.45783281166222878</v>
          </cell>
        </row>
        <row r="58">
          <cell r="K58">
            <v>-0.53536496125161648</v>
          </cell>
          <cell r="L58">
            <v>0.98739974419004284</v>
          </cell>
        </row>
        <row r="59">
          <cell r="K59">
            <v>0.41898147173924372</v>
          </cell>
          <cell r="L59">
            <v>-0.67623204813571647</v>
          </cell>
        </row>
        <row r="60">
          <cell r="K60">
            <v>-1.7858019418781623</v>
          </cell>
          <cell r="L60">
            <v>1.4443094187299721</v>
          </cell>
        </row>
        <row r="61">
          <cell r="K61">
            <v>-1.1156816981383599</v>
          </cell>
          <cell r="L61">
            <v>0.71473095886176452</v>
          </cell>
        </row>
        <row r="62">
          <cell r="K62">
            <v>0.78002358350204304</v>
          </cell>
          <cell r="L62">
            <v>-1.2820805750379805</v>
          </cell>
        </row>
        <row r="63">
          <cell r="K63">
            <v>-0.91855554273934104</v>
          </cell>
          <cell r="L63">
            <v>1.5731120583950542</v>
          </cell>
        </row>
        <row r="64">
          <cell r="K64">
            <v>0.56653789215488359</v>
          </cell>
          <cell r="L64">
            <v>-3.8235157262533903E-2</v>
          </cell>
        </row>
        <row r="65">
          <cell r="K65">
            <v>0.70910346039454453</v>
          </cell>
          <cell r="L65">
            <v>-0.78440507422783412</v>
          </cell>
        </row>
        <row r="66">
          <cell r="K66">
            <v>-0.152180064105778</v>
          </cell>
          <cell r="L66">
            <v>-1.68892256624531</v>
          </cell>
        </row>
        <row r="67">
          <cell r="K67">
            <v>-0.76752257882617414</v>
          </cell>
          <cell r="L67">
            <v>0.71942395152291283</v>
          </cell>
        </row>
        <row r="68">
          <cell r="K68">
            <v>1.1095789886894636</v>
          </cell>
          <cell r="L68">
            <v>-1.9581784727051854</v>
          </cell>
        </row>
        <row r="69">
          <cell r="K69">
            <v>-0.66605252868612297</v>
          </cell>
          <cell r="L69">
            <v>-2.3941174731589854</v>
          </cell>
        </row>
        <row r="70">
          <cell r="K70">
            <v>0.2677222710190108</v>
          </cell>
          <cell r="L70">
            <v>-0.35513039620127529</v>
          </cell>
        </row>
        <row r="71">
          <cell r="K71">
            <v>0.42962483348674141</v>
          </cell>
          <cell r="L71">
            <v>-7.4173840403091162E-2</v>
          </cell>
        </row>
        <row r="72">
          <cell r="K72">
            <v>-7.4135186878265813E-3</v>
          </cell>
          <cell r="L72">
            <v>-1.032462932926137</v>
          </cell>
        </row>
        <row r="73">
          <cell r="K73">
            <v>0.60389311329345219</v>
          </cell>
          <cell r="L73">
            <v>0.26372958927822765</v>
          </cell>
        </row>
        <row r="74">
          <cell r="K74">
            <v>1.202424755319953</v>
          </cell>
          <cell r="L74">
            <v>-1.2467694432416465</v>
          </cell>
        </row>
        <row r="75">
          <cell r="K75">
            <v>-0.19646449800347909</v>
          </cell>
          <cell r="L75">
            <v>0.66431766754249111</v>
          </cell>
        </row>
        <row r="76">
          <cell r="K76">
            <v>-0.25577037376933731</v>
          </cell>
          <cell r="L76">
            <v>0.81633402260194998</v>
          </cell>
        </row>
        <row r="77">
          <cell r="K77">
            <v>-8.8760998551151715E-2</v>
          </cell>
          <cell r="L77">
            <v>-0.81273583418806084</v>
          </cell>
        </row>
        <row r="78">
          <cell r="K78">
            <v>-0.73335058914381079</v>
          </cell>
          <cell r="L78">
            <v>1.9951676222262904</v>
          </cell>
        </row>
        <row r="79">
          <cell r="K79">
            <v>1.1296469892840832</v>
          </cell>
          <cell r="L79">
            <v>-0.85384499470819719</v>
          </cell>
        </row>
        <row r="80">
          <cell r="K80">
            <v>-0.37152631193748675</v>
          </cell>
          <cell r="L80">
            <v>0.48850324674276635</v>
          </cell>
        </row>
        <row r="81">
          <cell r="K81">
            <v>-0.87185071606654674</v>
          </cell>
          <cell r="L81">
            <v>-0.93466724138124846</v>
          </cell>
        </row>
        <row r="82">
          <cell r="K82">
            <v>-1.9420622265897691</v>
          </cell>
          <cell r="L82">
            <v>0.51250708565930836</v>
          </cell>
        </row>
      </sheetData>
      <sheetData sheetId="6"/>
      <sheetData sheetId="7">
        <row r="2">
          <cell r="N2">
            <v>3</v>
          </cell>
        </row>
        <row r="17">
          <cell r="AC17">
            <v>385.4</v>
          </cell>
        </row>
      </sheetData>
      <sheetData sheetId="8"/>
      <sheetData sheetId="9">
        <row r="2">
          <cell r="P2">
            <v>25</v>
          </cell>
          <cell r="Q2">
            <v>11</v>
          </cell>
        </row>
        <row r="3">
          <cell r="P3">
            <v>40</v>
          </cell>
          <cell r="Q3">
            <v>20</v>
          </cell>
        </row>
        <row r="26">
          <cell r="P26">
            <v>-4.6667035612008787</v>
          </cell>
          <cell r="S26">
            <v>0.16964144188092789</v>
          </cell>
        </row>
        <row r="27">
          <cell r="P27">
            <v>6.9993421687889859</v>
          </cell>
          <cell r="S27">
            <v>2.1660398816025762E-2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M77"/>
  <sheetViews>
    <sheetView showGridLines="0" showRowColHeaders="0" tabSelected="1" zoomScale="120" workbookViewId="0"/>
  </sheetViews>
  <sheetFormatPr defaultRowHeight="13.2" x14ac:dyDescent="0.25"/>
  <cols>
    <col min="1" max="1" width="1.109375" customWidth="1"/>
    <col min="2" max="2" width="4.109375" customWidth="1"/>
    <col min="3" max="5" width="3.6640625" customWidth="1"/>
    <col min="13" max="13" width="12.109375" customWidth="1"/>
  </cols>
  <sheetData>
    <row r="1" spans="2:13" ht="20.399999999999999" x14ac:dyDescent="0.35">
      <c r="B1" s="35" t="s">
        <v>99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7"/>
    </row>
    <row r="2" spans="2:13" x14ac:dyDescent="0.25">
      <c r="B2" s="38" t="s">
        <v>40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40"/>
    </row>
    <row r="3" spans="2:13" x14ac:dyDescent="0.25">
      <c r="B3" s="38" t="s">
        <v>14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40"/>
    </row>
    <row r="4" spans="2:13" x14ac:dyDescent="0.25">
      <c r="B4" s="38" t="s">
        <v>15</v>
      </c>
      <c r="C4" s="39"/>
      <c r="D4" s="39"/>
      <c r="E4" s="39"/>
      <c r="F4" s="39"/>
      <c r="G4" s="39"/>
      <c r="H4" s="39"/>
      <c r="I4" s="39"/>
      <c r="J4" s="39"/>
      <c r="K4" s="39"/>
      <c r="L4" s="39"/>
      <c r="M4" s="40"/>
    </row>
    <row r="5" spans="2:13" x14ac:dyDescent="0.25">
      <c r="B5" s="38" t="s">
        <v>16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40"/>
    </row>
    <row r="6" spans="2:13" ht="13.8" thickBot="1" x14ac:dyDescent="0.3">
      <c r="B6" s="41" t="s">
        <v>17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3"/>
    </row>
    <row r="7" spans="2:13" ht="18.75" customHeight="1" x14ac:dyDescent="0.25">
      <c r="B7" t="s">
        <v>18</v>
      </c>
    </row>
    <row r="8" spans="2:13" x14ac:dyDescent="0.25">
      <c r="B8" t="s">
        <v>19</v>
      </c>
    </row>
    <row r="9" spans="2:13" x14ac:dyDescent="0.25">
      <c r="B9" t="s">
        <v>20</v>
      </c>
    </row>
    <row r="10" spans="2:13" ht="20.25" customHeight="1" x14ac:dyDescent="0.25">
      <c r="B10" s="12" t="s">
        <v>96</v>
      </c>
    </row>
    <row r="11" spans="2:13" x14ac:dyDescent="0.25">
      <c r="B11" t="s">
        <v>41</v>
      </c>
    </row>
    <row r="12" spans="2:13" x14ac:dyDescent="0.25">
      <c r="B12" t="s">
        <v>42</v>
      </c>
    </row>
    <row r="13" spans="2:13" x14ac:dyDescent="0.25">
      <c r="B13" t="s">
        <v>43</v>
      </c>
    </row>
    <row r="14" spans="2:13" ht="15.9" customHeight="1" x14ac:dyDescent="0.25">
      <c r="B14" t="s">
        <v>62</v>
      </c>
    </row>
    <row r="15" spans="2:13" x14ac:dyDescent="0.25">
      <c r="B15" t="s">
        <v>63</v>
      </c>
    </row>
    <row r="16" spans="2:13" x14ac:dyDescent="0.25">
      <c r="B16" s="46" t="s">
        <v>50</v>
      </c>
      <c r="C16" t="s">
        <v>49</v>
      </c>
    </row>
    <row r="17" spans="3:4" x14ac:dyDescent="0.25">
      <c r="C17" s="44"/>
      <c r="D17" s="44" t="s">
        <v>44</v>
      </c>
    </row>
    <row r="18" spans="3:4" x14ac:dyDescent="0.25">
      <c r="C18" s="44"/>
      <c r="D18" s="44" t="s">
        <v>45</v>
      </c>
    </row>
    <row r="19" spans="3:4" x14ac:dyDescent="0.25">
      <c r="C19" s="44"/>
      <c r="D19" s="44" t="s">
        <v>46</v>
      </c>
    </row>
    <row r="20" spans="3:4" x14ac:dyDescent="0.25">
      <c r="C20" s="44" t="s">
        <v>47</v>
      </c>
      <c r="D20" s="44"/>
    </row>
    <row r="21" spans="3:4" x14ac:dyDescent="0.25">
      <c r="C21" s="44" t="s">
        <v>97</v>
      </c>
      <c r="D21" s="44"/>
    </row>
    <row r="22" spans="3:4" x14ac:dyDescent="0.25">
      <c r="C22" t="s">
        <v>48</v>
      </c>
      <c r="D22" s="44"/>
    </row>
    <row r="35" spans="2:13" ht="18" customHeight="1" x14ac:dyDescent="0.25">
      <c r="B35" s="46" t="s">
        <v>50</v>
      </c>
      <c r="C35" t="s">
        <v>51</v>
      </c>
    </row>
    <row r="36" spans="2:13" x14ac:dyDescent="0.25">
      <c r="C36" s="44" t="s">
        <v>52</v>
      </c>
      <c r="D36" s="44"/>
    </row>
    <row r="37" spans="2:13" ht="18" customHeight="1" x14ac:dyDescent="0.25">
      <c r="B37" s="46" t="s">
        <v>50</v>
      </c>
      <c r="C37" t="s">
        <v>53</v>
      </c>
    </row>
    <row r="38" spans="2:13" x14ac:dyDescent="0.25">
      <c r="B38" s="46"/>
      <c r="C38" t="s">
        <v>54</v>
      </c>
    </row>
    <row r="39" spans="2:13" x14ac:dyDescent="0.25">
      <c r="C39" s="44"/>
      <c r="D39" s="44" t="s">
        <v>55</v>
      </c>
    </row>
    <row r="40" spans="2:13" x14ac:dyDescent="0.25">
      <c r="C40" s="44"/>
      <c r="D40" s="44" t="s">
        <v>56</v>
      </c>
    </row>
    <row r="41" spans="2:13" x14ac:dyDescent="0.25">
      <c r="C41" s="44"/>
      <c r="D41" s="44" t="s">
        <v>57</v>
      </c>
    </row>
    <row r="42" spans="2:13" x14ac:dyDescent="0.25">
      <c r="C42" s="44" t="s">
        <v>58</v>
      </c>
      <c r="D42" s="44"/>
    </row>
    <row r="43" spans="2:13" x14ac:dyDescent="0.25">
      <c r="C43" t="s">
        <v>60</v>
      </c>
      <c r="D43" s="44"/>
    </row>
    <row r="44" spans="2:13" x14ac:dyDescent="0.25">
      <c r="C44" t="s">
        <v>59</v>
      </c>
    </row>
    <row r="46" spans="2:13" ht="15.6" x14ac:dyDescent="0.3">
      <c r="B46" s="48" t="s">
        <v>61</v>
      </c>
    </row>
    <row r="47" spans="2:13" x14ac:dyDescent="0.25">
      <c r="B47" s="46" t="s">
        <v>50</v>
      </c>
      <c r="C47" s="44" t="s">
        <v>67</v>
      </c>
      <c r="K47" s="55" t="s">
        <v>65</v>
      </c>
      <c r="L47" s="55"/>
      <c r="M47" s="55"/>
    </row>
    <row r="48" spans="2:13" x14ac:dyDescent="0.25">
      <c r="B48" s="46" t="s">
        <v>50</v>
      </c>
      <c r="C48" t="s">
        <v>64</v>
      </c>
    </row>
    <row r="49" spans="2:7" x14ac:dyDescent="0.25">
      <c r="B49" s="46" t="s">
        <v>50</v>
      </c>
      <c r="C49" t="s">
        <v>68</v>
      </c>
    </row>
    <row r="50" spans="2:7" x14ac:dyDescent="0.25">
      <c r="D50" t="s">
        <v>69</v>
      </c>
    </row>
    <row r="51" spans="2:7" x14ac:dyDescent="0.25">
      <c r="E51" s="47" t="s">
        <v>66</v>
      </c>
    </row>
    <row r="52" spans="2:7" x14ac:dyDescent="0.25">
      <c r="B52" s="46" t="s">
        <v>50</v>
      </c>
      <c r="C52" t="s">
        <v>70</v>
      </c>
    </row>
    <row r="53" spans="2:7" x14ac:dyDescent="0.25">
      <c r="C53" t="s">
        <v>71</v>
      </c>
    </row>
    <row r="54" spans="2:7" x14ac:dyDescent="0.25">
      <c r="C54" t="s">
        <v>72</v>
      </c>
    </row>
    <row r="55" spans="2:7" x14ac:dyDescent="0.25">
      <c r="B55" s="46" t="s">
        <v>50</v>
      </c>
      <c r="C55" t="s">
        <v>73</v>
      </c>
    </row>
    <row r="56" spans="2:7" x14ac:dyDescent="0.25">
      <c r="C56" t="s">
        <v>74</v>
      </c>
      <c r="D56" t="s">
        <v>75</v>
      </c>
    </row>
    <row r="57" spans="2:7" x14ac:dyDescent="0.25">
      <c r="C57" t="s">
        <v>74</v>
      </c>
      <c r="D57" t="s">
        <v>76</v>
      </c>
    </row>
    <row r="58" spans="2:7" x14ac:dyDescent="0.25">
      <c r="C58" t="s">
        <v>74</v>
      </c>
      <c r="D58" t="s">
        <v>77</v>
      </c>
    </row>
    <row r="59" spans="2:7" x14ac:dyDescent="0.25">
      <c r="G59" t="s">
        <v>78</v>
      </c>
    </row>
    <row r="60" spans="2:7" x14ac:dyDescent="0.25">
      <c r="C60" t="s">
        <v>74</v>
      </c>
      <c r="D60" t="s">
        <v>79</v>
      </c>
    </row>
    <row r="61" spans="2:7" ht="15.6" x14ac:dyDescent="0.3">
      <c r="B61" s="49" t="s">
        <v>82</v>
      </c>
    </row>
    <row r="62" spans="2:7" x14ac:dyDescent="0.25">
      <c r="C62" t="s">
        <v>81</v>
      </c>
    </row>
    <row r="64" spans="2:7" ht="15.6" x14ac:dyDescent="0.3">
      <c r="B64" s="48" t="s">
        <v>80</v>
      </c>
    </row>
    <row r="65" spans="2:4" x14ac:dyDescent="0.25">
      <c r="B65" t="s">
        <v>83</v>
      </c>
    </row>
    <row r="66" spans="2:4" ht="15.9" customHeight="1" x14ac:dyDescent="0.25">
      <c r="B66" s="1" t="s">
        <v>87</v>
      </c>
      <c r="C66" s="47" t="s">
        <v>84</v>
      </c>
    </row>
    <row r="67" spans="2:4" x14ac:dyDescent="0.25">
      <c r="C67" t="s">
        <v>90</v>
      </c>
    </row>
    <row r="68" spans="2:4" x14ac:dyDescent="0.25">
      <c r="C68" t="s">
        <v>98</v>
      </c>
    </row>
    <row r="69" spans="2:4" ht="15.9" customHeight="1" x14ac:dyDescent="0.25">
      <c r="B69" s="1" t="s">
        <v>88</v>
      </c>
      <c r="C69" s="47" t="s">
        <v>85</v>
      </c>
    </row>
    <row r="70" spans="2:4" x14ac:dyDescent="0.25">
      <c r="C70" t="s">
        <v>91</v>
      </c>
    </row>
    <row r="71" spans="2:4" x14ac:dyDescent="0.25">
      <c r="C71" t="s">
        <v>92</v>
      </c>
    </row>
    <row r="72" spans="2:4" x14ac:dyDescent="0.25">
      <c r="C72" s="51" t="s">
        <v>93</v>
      </c>
    </row>
    <row r="73" spans="2:4" ht="15.9" customHeight="1" x14ac:dyDescent="0.25">
      <c r="B73" s="1" t="s">
        <v>89</v>
      </c>
      <c r="C73" s="47" t="s">
        <v>86</v>
      </c>
    </row>
    <row r="74" spans="2:4" x14ac:dyDescent="0.25">
      <c r="C74" t="s">
        <v>94</v>
      </c>
    </row>
    <row r="75" spans="2:4" x14ac:dyDescent="0.25">
      <c r="C75" t="s">
        <v>95</v>
      </c>
    </row>
    <row r="76" spans="2:4" x14ac:dyDescent="0.25">
      <c r="C76" s="45"/>
      <c r="D76" s="50"/>
    </row>
    <row r="77" spans="2:4" x14ac:dyDescent="0.25">
      <c r="C77" s="45"/>
    </row>
  </sheetData>
  <mergeCells count="1">
    <mergeCell ref="K47:M47"/>
  </mergeCells>
  <phoneticPr fontId="0" type="noConversion"/>
  <hyperlinks>
    <hyperlink ref="K47:M47" location="Tree!A1" display="Link to Tree Worksheet"/>
  </hyperlinks>
  <pageMargins left="0.75" right="0.75" top="0.77" bottom="0.45" header="0.41" footer="0.34"/>
  <pageSetup scale="95" orientation="portrait" r:id="rId1"/>
  <headerFooter alignWithMargins="0">
    <oddHeader>&amp;L&amp;A&amp;CDecisionTree.xls&amp;R Page &amp;P of  &amp;N</oddHeader>
  </headerFooter>
  <rowBreaks count="1" manualBreakCount="1">
    <brk id="4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C2:M21"/>
  <sheetViews>
    <sheetView showGridLines="0" zoomScale="135" workbookViewId="0">
      <selection activeCell="N30" sqref="N30"/>
    </sheetView>
  </sheetViews>
  <sheetFormatPr defaultRowHeight="13.2" x14ac:dyDescent="0.25"/>
  <cols>
    <col min="1" max="1" width="3.6640625" bestFit="1" customWidth="1"/>
    <col min="2" max="2" width="2" customWidth="1"/>
    <col min="3" max="3" width="17.5546875" bestFit="1" customWidth="1"/>
    <col min="4" max="4" width="12.5546875" bestFit="1" customWidth="1"/>
    <col min="5" max="5" width="4.5546875" bestFit="1" customWidth="1"/>
    <col min="6" max="6" width="8.109375" bestFit="1" customWidth="1"/>
    <col min="7" max="7" width="12.5546875" bestFit="1" customWidth="1"/>
    <col min="8" max="8" width="5.33203125" bestFit="1" customWidth="1"/>
    <col min="9" max="9" width="7.109375" bestFit="1" customWidth="1"/>
    <col min="10" max="10" width="11.5546875" bestFit="1" customWidth="1"/>
    <col min="11" max="11" width="4.109375" bestFit="1" customWidth="1"/>
    <col min="12" max="12" width="8.109375" bestFit="1" customWidth="1"/>
    <col min="13" max="13" width="9.44140625" bestFit="1" customWidth="1"/>
    <col min="14" max="14" width="5" bestFit="1" customWidth="1"/>
    <col min="15" max="15" width="5.44140625" bestFit="1" customWidth="1"/>
    <col min="16" max="16" width="3" bestFit="1" customWidth="1"/>
  </cols>
  <sheetData>
    <row r="2" spans="3:13" ht="13.8" thickBot="1" x14ac:dyDescent="0.3"/>
    <row r="3" spans="3:13" ht="13.8" thickBot="1" x14ac:dyDescent="0.3">
      <c r="C3" s="7" t="s">
        <v>13</v>
      </c>
      <c r="D3" s="9">
        <f>MIN(G3,G11)</f>
        <v>10516926.875</v>
      </c>
      <c r="E3" s="4" t="str">
        <f>IF(D3=G3,"Yes","No")</f>
        <v>No</v>
      </c>
      <c r="F3" s="8" t="s">
        <v>112</v>
      </c>
      <c r="G3" s="6">
        <f>H3*J3+H7*J7</f>
        <v>10917968.625</v>
      </c>
      <c r="H3" s="5">
        <v>0.75</v>
      </c>
      <c r="I3" s="8" t="s">
        <v>100</v>
      </c>
      <c r="J3" s="6">
        <f>K3*M3+K5*M5</f>
        <v>11197916.5</v>
      </c>
      <c r="K3" s="5">
        <v>0.5</v>
      </c>
      <c r="L3" s="10" t="s">
        <v>104</v>
      </c>
      <c r="M3" s="11">
        <v>11458333</v>
      </c>
    </row>
    <row r="4" spans="3:13" ht="13.8" thickBot="1" x14ac:dyDescent="0.3">
      <c r="E4" s="2"/>
      <c r="H4" s="2"/>
      <c r="K4" s="2"/>
    </row>
    <row r="5" spans="3:13" ht="13.8" thickBot="1" x14ac:dyDescent="0.3">
      <c r="E5" s="2"/>
      <c r="H5" s="2"/>
      <c r="K5" s="5">
        <v>0.5</v>
      </c>
      <c r="L5" s="10" t="s">
        <v>105</v>
      </c>
      <c r="M5" s="11">
        <v>10937500</v>
      </c>
    </row>
    <row r="6" spans="3:13" ht="13.8" thickBot="1" x14ac:dyDescent="0.3">
      <c r="E6" s="2"/>
      <c r="H6" s="2"/>
    </row>
    <row r="7" spans="3:13" ht="13.8" thickBot="1" x14ac:dyDescent="0.3">
      <c r="E7" s="2"/>
      <c r="H7" s="5">
        <v>0.25</v>
      </c>
      <c r="I7" s="8" t="s">
        <v>101</v>
      </c>
      <c r="J7" s="6">
        <f>K7*M7+K9*M9</f>
        <v>10078125</v>
      </c>
      <c r="K7" s="5">
        <v>0.5</v>
      </c>
      <c r="L7" s="10" t="s">
        <v>106</v>
      </c>
      <c r="M7" s="11">
        <v>10312500</v>
      </c>
    </row>
    <row r="8" spans="3:13" ht="13.8" thickBot="1" x14ac:dyDescent="0.3">
      <c r="E8" s="2"/>
      <c r="K8" s="2"/>
    </row>
    <row r="9" spans="3:13" ht="13.8" thickBot="1" x14ac:dyDescent="0.3">
      <c r="E9" s="2"/>
      <c r="K9" s="5">
        <v>0.5</v>
      </c>
      <c r="L9" s="10" t="s">
        <v>107</v>
      </c>
      <c r="M9" s="11">
        <v>9843750</v>
      </c>
    </row>
    <row r="10" spans="3:13" ht="13.8" thickBot="1" x14ac:dyDescent="0.3">
      <c r="E10" s="2"/>
    </row>
    <row r="11" spans="3:13" ht="13.8" thickBot="1" x14ac:dyDescent="0.3">
      <c r="E11" s="4" t="str">
        <f>IF(D3=G11,"Yes","No")</f>
        <v>Yes</v>
      </c>
      <c r="F11" s="8" t="s">
        <v>113</v>
      </c>
      <c r="G11" s="6">
        <f>H11*J11+H15*J15</f>
        <v>10516926.875</v>
      </c>
      <c r="H11" s="5">
        <v>0.75</v>
      </c>
      <c r="I11" s="8" t="s">
        <v>102</v>
      </c>
      <c r="J11" s="6">
        <f>K11*M11+K13*M13</f>
        <v>10572916.5</v>
      </c>
      <c r="K11" s="5">
        <v>0.5</v>
      </c>
      <c r="L11" s="10" t="s">
        <v>108</v>
      </c>
      <c r="M11" s="11">
        <v>10625000</v>
      </c>
    </row>
    <row r="12" spans="3:13" ht="13.8" thickBot="1" x14ac:dyDescent="0.3">
      <c r="H12" s="2"/>
      <c r="K12" s="2"/>
    </row>
    <row r="13" spans="3:13" ht="13.8" thickBot="1" x14ac:dyDescent="0.3">
      <c r="H13" s="2"/>
      <c r="K13" s="5">
        <v>0.5</v>
      </c>
      <c r="L13" s="10" t="s">
        <v>109</v>
      </c>
      <c r="M13" s="11">
        <v>10520833</v>
      </c>
    </row>
    <row r="14" spans="3:13" ht="13.8" thickBot="1" x14ac:dyDescent="0.3">
      <c r="H14" s="2"/>
    </row>
    <row r="15" spans="3:13" ht="13.8" thickBot="1" x14ac:dyDescent="0.3">
      <c r="H15" s="5">
        <v>0.25</v>
      </c>
      <c r="I15" s="8" t="s">
        <v>103</v>
      </c>
      <c r="J15" s="6">
        <f>K15*M15+K17*M17</f>
        <v>10348958</v>
      </c>
      <c r="K15" s="5">
        <v>0.5</v>
      </c>
      <c r="L15" s="10" t="s">
        <v>110</v>
      </c>
      <c r="M15" s="11">
        <v>10395833</v>
      </c>
    </row>
    <row r="16" spans="3:13" ht="13.8" thickBot="1" x14ac:dyDescent="0.3">
      <c r="K16" s="2"/>
    </row>
    <row r="17" spans="3:13" ht="13.8" thickBot="1" x14ac:dyDescent="0.3">
      <c r="K17" s="5">
        <v>0.5</v>
      </c>
      <c r="L17" s="10" t="s">
        <v>111</v>
      </c>
      <c r="M17" s="11">
        <v>10302083</v>
      </c>
    </row>
    <row r="19" spans="3:13" ht="13.8" thickBot="1" x14ac:dyDescent="0.3"/>
    <row r="20" spans="3:13" ht="17.399999999999999" x14ac:dyDescent="0.3">
      <c r="C20" s="53" t="s">
        <v>114</v>
      </c>
      <c r="D20" s="52"/>
    </row>
    <row r="21" spans="3:13" ht="18" thickBot="1" x14ac:dyDescent="0.35">
      <c r="C21" s="54" t="s">
        <v>115</v>
      </c>
    </row>
  </sheetData>
  <phoneticPr fontId="1" type="noConversion"/>
  <conditionalFormatting sqref="E3 E11">
    <cfRule type="cellIs" dxfId="0" priority="1" stopIfTrue="1" operator="equal">
      <formula>"Yes"</formula>
    </cfRule>
  </conditionalFormatting>
  <pageMargins left="0.75" right="0.75" top="1" bottom="1" header="0.5" footer="0.5"/>
  <pageSetup orientation="landscape" r:id="rId1"/>
  <headerFooter alignWithMargins="0">
    <oddHeader>&amp;L&amp;A&amp;C&amp;F&amp;RPage  &amp;P of 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5" r:id="rId4" name="Button 101">
              <controlPr defaultSize="0" print="0" autoFill="0" autoPict="0" macro="[0]!EditTree">
                <anchor>
                  <from>
                    <xdr:col>3</xdr:col>
                    <xdr:colOff>38100</xdr:colOff>
                    <xdr:row>0</xdr:row>
                    <xdr:rowOff>60960</xdr:rowOff>
                  </from>
                  <to>
                    <xdr:col>5</xdr:col>
                    <xdr:colOff>60960</xdr:colOff>
                    <xdr:row>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"/>
  <sheetViews>
    <sheetView workbookViewId="0">
      <selection activeCell="B28" sqref="B28"/>
    </sheetView>
  </sheetViews>
  <sheetFormatPr defaultColWidth="9.109375" defaultRowHeight="13.2" x14ac:dyDescent="0.25"/>
  <cols>
    <col min="1" max="1" width="9.109375" style="1"/>
    <col min="2" max="2" width="9.6640625" style="1" bestFit="1" customWidth="1"/>
    <col min="3" max="3" width="9.6640625" style="1" customWidth="1"/>
    <col min="4" max="4" width="13.6640625" style="3" bestFit="1" customWidth="1"/>
    <col min="5" max="5" width="9.6640625" style="1" bestFit="1" customWidth="1"/>
    <col min="6" max="6" width="7.6640625" style="1" bestFit="1" customWidth="1"/>
    <col min="7" max="7" width="9.88671875" style="1" bestFit="1" customWidth="1"/>
    <col min="8" max="8" width="11.44140625" style="1" bestFit="1" customWidth="1"/>
    <col min="9" max="9" width="9.5546875" style="1" bestFit="1" customWidth="1"/>
    <col min="10" max="16384" width="9.109375" style="1"/>
  </cols>
  <sheetData>
    <row r="1" spans="1:10" x14ac:dyDescent="0.25">
      <c r="A1" s="1" t="s">
        <v>0</v>
      </c>
      <c r="B1" s="1" t="s">
        <v>10</v>
      </c>
      <c r="C1" s="1" t="s">
        <v>11</v>
      </c>
      <c r="D1" s="3" t="s">
        <v>12</v>
      </c>
      <c r="E1" s="1" t="s">
        <v>2</v>
      </c>
      <c r="F1" s="1" t="s">
        <v>3</v>
      </c>
      <c r="G1" s="1" t="s">
        <v>6</v>
      </c>
      <c r="H1" s="1" t="s">
        <v>1</v>
      </c>
      <c r="I1" s="1" t="s">
        <v>4</v>
      </c>
      <c r="J1" s="1" t="s">
        <v>5</v>
      </c>
    </row>
    <row r="2" spans="1:10" x14ac:dyDescent="0.25">
      <c r="A2" s="1">
        <v>1</v>
      </c>
      <c r="E2" s="1" t="str">
        <f>Tree!C3</f>
        <v>Node 1</v>
      </c>
      <c r="F2" s="1">
        <f>Tree!D3</f>
        <v>10516926.875</v>
      </c>
      <c r="G2" s="1" t="s">
        <v>7</v>
      </c>
      <c r="H2" s="1">
        <v>1</v>
      </c>
      <c r="I2" s="1">
        <v>3</v>
      </c>
      <c r="J2" s="1">
        <v>4</v>
      </c>
    </row>
    <row r="3" spans="1:10" x14ac:dyDescent="0.25">
      <c r="A3" s="1">
        <v>2</v>
      </c>
      <c r="B3" s="1" t="str">
        <f>Tree!C3</f>
        <v>Node 1</v>
      </c>
      <c r="C3" s="1">
        <f>Tree!D3</f>
        <v>10516926.875</v>
      </c>
      <c r="D3" s="3" t="str">
        <f>Tree!E3</f>
        <v>No</v>
      </c>
      <c r="E3" s="1" t="str">
        <f>Tree!F3</f>
        <v>Option 1</v>
      </c>
      <c r="F3" s="1">
        <f>Tree!G3</f>
        <v>10917968.625</v>
      </c>
      <c r="G3" s="1" t="s">
        <v>9</v>
      </c>
      <c r="H3" s="1">
        <v>2</v>
      </c>
      <c r="I3" s="1">
        <v>3</v>
      </c>
      <c r="J3" s="1">
        <v>7</v>
      </c>
    </row>
    <row r="4" spans="1:10" x14ac:dyDescent="0.25">
      <c r="A4" s="1">
        <v>3</v>
      </c>
      <c r="B4" s="1" t="str">
        <f>Tree!C3</f>
        <v>Node 1</v>
      </c>
      <c r="C4" s="1">
        <f>Tree!D3</f>
        <v>10516926.875</v>
      </c>
      <c r="D4" s="3" t="str">
        <f>Tree!E11</f>
        <v>Yes</v>
      </c>
      <c r="E4" s="1" t="str">
        <f>Tree!F11</f>
        <v>Option 2</v>
      </c>
      <c r="F4" s="1">
        <f>Tree!G11</f>
        <v>10516926.875</v>
      </c>
      <c r="G4" s="1" t="s">
        <v>9</v>
      </c>
      <c r="H4" s="1">
        <v>2</v>
      </c>
      <c r="I4" s="1">
        <v>11</v>
      </c>
      <c r="J4" s="1">
        <v>7</v>
      </c>
    </row>
    <row r="5" spans="1:10" x14ac:dyDescent="0.25">
      <c r="A5" s="1">
        <v>4</v>
      </c>
      <c r="B5" s="1" t="str">
        <f>Tree!F3</f>
        <v>Option 1</v>
      </c>
      <c r="C5" s="1">
        <f>Tree!G3</f>
        <v>10917968.625</v>
      </c>
      <c r="D5" s="3">
        <f>Tree!H3</f>
        <v>0.75</v>
      </c>
      <c r="E5" s="1" t="str">
        <f>Tree!I3</f>
        <v>Node 4</v>
      </c>
      <c r="F5" s="1">
        <f>Tree!J3</f>
        <v>11197916.5</v>
      </c>
      <c r="G5" s="1" t="s">
        <v>9</v>
      </c>
      <c r="H5" s="1">
        <v>3</v>
      </c>
      <c r="I5" s="1">
        <v>3</v>
      </c>
      <c r="J5" s="1">
        <v>10</v>
      </c>
    </row>
    <row r="6" spans="1:10" x14ac:dyDescent="0.25">
      <c r="A6" s="1">
        <v>5</v>
      </c>
      <c r="B6" s="1" t="str">
        <f>Tree!F3</f>
        <v>Option 1</v>
      </c>
      <c r="C6" s="1">
        <f>Tree!G3</f>
        <v>10917968.625</v>
      </c>
      <c r="D6" s="3">
        <f>Tree!H7</f>
        <v>0.25</v>
      </c>
      <c r="E6" s="1" t="str">
        <f>Tree!I7</f>
        <v>Node 5</v>
      </c>
      <c r="F6" s="1">
        <f>Tree!J7</f>
        <v>10078125</v>
      </c>
      <c r="G6" s="1" t="s">
        <v>9</v>
      </c>
      <c r="H6" s="1">
        <v>3</v>
      </c>
      <c r="I6" s="1">
        <v>7</v>
      </c>
      <c r="J6" s="1">
        <v>10</v>
      </c>
    </row>
    <row r="7" spans="1:10" x14ac:dyDescent="0.25">
      <c r="A7" s="1">
        <v>6</v>
      </c>
      <c r="B7" s="1" t="str">
        <f>Tree!F11</f>
        <v>Option 2</v>
      </c>
      <c r="C7" s="1">
        <f>Tree!G11</f>
        <v>10516926.875</v>
      </c>
      <c r="D7" s="3">
        <f>Tree!H11</f>
        <v>0.75</v>
      </c>
      <c r="E7" s="1" t="str">
        <f>Tree!I11</f>
        <v>Node 6</v>
      </c>
      <c r="F7" s="1">
        <f>Tree!J11</f>
        <v>10572916.5</v>
      </c>
      <c r="G7" s="1" t="s">
        <v>9</v>
      </c>
      <c r="H7" s="1">
        <v>3</v>
      </c>
      <c r="I7" s="1">
        <v>11</v>
      </c>
      <c r="J7" s="1">
        <v>10</v>
      </c>
    </row>
    <row r="8" spans="1:10" x14ac:dyDescent="0.25">
      <c r="A8" s="1">
        <v>7</v>
      </c>
      <c r="B8" s="1" t="str">
        <f>Tree!F11</f>
        <v>Option 2</v>
      </c>
      <c r="C8" s="1">
        <f>Tree!G11</f>
        <v>10516926.875</v>
      </c>
      <c r="D8" s="3">
        <f>Tree!H15</f>
        <v>0.25</v>
      </c>
      <c r="E8" s="1" t="str">
        <f>Tree!I15</f>
        <v>Node 7</v>
      </c>
      <c r="F8" s="1">
        <f>Tree!J15</f>
        <v>10348958</v>
      </c>
      <c r="G8" s="1" t="s">
        <v>9</v>
      </c>
      <c r="H8" s="1">
        <v>3</v>
      </c>
      <c r="I8" s="1">
        <v>15</v>
      </c>
      <c r="J8" s="1">
        <v>10</v>
      </c>
    </row>
    <row r="9" spans="1:10" x14ac:dyDescent="0.25">
      <c r="A9" s="1">
        <v>8</v>
      </c>
      <c r="B9" s="1" t="str">
        <f>Tree!I3</f>
        <v>Node 4</v>
      </c>
      <c r="C9" s="1">
        <f>Tree!J3</f>
        <v>11197916.5</v>
      </c>
      <c r="D9" s="3">
        <f>Tree!K3</f>
        <v>0.5</v>
      </c>
      <c r="E9" s="1" t="str">
        <f>Tree!L3</f>
        <v>Node 8</v>
      </c>
      <c r="F9" s="1">
        <f>Tree!M3</f>
        <v>11458333</v>
      </c>
      <c r="G9" s="1" t="s">
        <v>8</v>
      </c>
      <c r="H9" s="1">
        <v>4</v>
      </c>
      <c r="I9" s="1">
        <v>3</v>
      </c>
      <c r="J9" s="1">
        <v>13</v>
      </c>
    </row>
    <row r="10" spans="1:10" x14ac:dyDescent="0.25">
      <c r="A10" s="1">
        <v>9</v>
      </c>
      <c r="B10" s="1" t="str">
        <f>Tree!I3</f>
        <v>Node 4</v>
      </c>
      <c r="C10" s="1">
        <f>Tree!J3</f>
        <v>11197916.5</v>
      </c>
      <c r="D10" s="3">
        <f>Tree!K5</f>
        <v>0.5</v>
      </c>
      <c r="E10" s="1" t="str">
        <f>Tree!L5</f>
        <v>Node 9</v>
      </c>
      <c r="F10" s="1">
        <f>Tree!M5</f>
        <v>10937500</v>
      </c>
      <c r="G10" s="1" t="s">
        <v>8</v>
      </c>
      <c r="H10" s="1">
        <v>4</v>
      </c>
      <c r="I10" s="1">
        <v>5</v>
      </c>
      <c r="J10" s="1">
        <v>13</v>
      </c>
    </row>
    <row r="11" spans="1:10" x14ac:dyDescent="0.25">
      <c r="A11" s="1">
        <v>10</v>
      </c>
      <c r="B11" s="1" t="str">
        <f>Tree!I7</f>
        <v>Node 5</v>
      </c>
      <c r="C11" s="1">
        <f>Tree!J7</f>
        <v>10078125</v>
      </c>
      <c r="D11" s="3">
        <f>Tree!K7</f>
        <v>0.5</v>
      </c>
      <c r="E11" s="1" t="str">
        <f>Tree!L7</f>
        <v>Node 10</v>
      </c>
      <c r="F11" s="1">
        <f>Tree!M7</f>
        <v>10312500</v>
      </c>
      <c r="G11" s="1" t="s">
        <v>8</v>
      </c>
      <c r="H11" s="1">
        <v>4</v>
      </c>
      <c r="I11" s="1">
        <v>7</v>
      </c>
      <c r="J11" s="1">
        <v>13</v>
      </c>
    </row>
    <row r="12" spans="1:10" x14ac:dyDescent="0.25">
      <c r="A12" s="1">
        <v>11</v>
      </c>
      <c r="B12" s="1" t="str">
        <f>Tree!I7</f>
        <v>Node 5</v>
      </c>
      <c r="C12" s="1">
        <f>Tree!J7</f>
        <v>10078125</v>
      </c>
      <c r="D12" s="3">
        <f>Tree!K9</f>
        <v>0.5</v>
      </c>
      <c r="E12" s="1" t="str">
        <f>Tree!L9</f>
        <v>Node 11</v>
      </c>
      <c r="F12" s="1">
        <f>Tree!M9</f>
        <v>9843750</v>
      </c>
      <c r="G12" s="1" t="s">
        <v>8</v>
      </c>
      <c r="H12" s="1">
        <v>4</v>
      </c>
      <c r="I12" s="1">
        <v>9</v>
      </c>
      <c r="J12" s="1">
        <v>13</v>
      </c>
    </row>
    <row r="13" spans="1:10" x14ac:dyDescent="0.25">
      <c r="A13" s="1">
        <v>12</v>
      </c>
      <c r="B13" s="1" t="str">
        <f>Tree!I11</f>
        <v>Node 6</v>
      </c>
      <c r="C13" s="1">
        <f>Tree!J11</f>
        <v>10572916.5</v>
      </c>
      <c r="D13" s="3">
        <f>Tree!K11</f>
        <v>0.5</v>
      </c>
      <c r="E13" s="1" t="str">
        <f>Tree!L11</f>
        <v>Node 12</v>
      </c>
      <c r="F13" s="1">
        <f>Tree!M11</f>
        <v>10625000</v>
      </c>
      <c r="G13" s="1" t="s">
        <v>8</v>
      </c>
      <c r="H13" s="1">
        <v>4</v>
      </c>
      <c r="I13" s="1">
        <v>11</v>
      </c>
      <c r="J13" s="1">
        <v>13</v>
      </c>
    </row>
    <row r="14" spans="1:10" x14ac:dyDescent="0.25">
      <c r="A14" s="1">
        <v>13</v>
      </c>
      <c r="B14" s="1" t="str">
        <f>Tree!I11</f>
        <v>Node 6</v>
      </c>
      <c r="C14" s="1">
        <f>Tree!J11</f>
        <v>10572916.5</v>
      </c>
      <c r="D14" s="3">
        <f>Tree!K13</f>
        <v>0.5</v>
      </c>
      <c r="E14" s="1" t="str">
        <f>Tree!L13</f>
        <v>Node 13</v>
      </c>
      <c r="F14" s="1">
        <f>Tree!M13</f>
        <v>10520833</v>
      </c>
      <c r="G14" s="1" t="s">
        <v>8</v>
      </c>
      <c r="H14" s="1">
        <v>4</v>
      </c>
      <c r="I14" s="1">
        <v>13</v>
      </c>
      <c r="J14" s="1">
        <v>13</v>
      </c>
    </row>
    <row r="15" spans="1:10" x14ac:dyDescent="0.25">
      <c r="A15" s="1">
        <v>14</v>
      </c>
      <c r="B15" s="1" t="str">
        <f>Tree!I15</f>
        <v>Node 7</v>
      </c>
      <c r="C15" s="1">
        <f>Tree!J15</f>
        <v>10348958</v>
      </c>
      <c r="D15" s="3">
        <f>Tree!K15</f>
        <v>0.5</v>
      </c>
      <c r="E15" s="1" t="str">
        <f>Tree!L15</f>
        <v>Node 14</v>
      </c>
      <c r="F15" s="1">
        <f>Tree!M15</f>
        <v>10395833</v>
      </c>
      <c r="G15" s="1" t="s">
        <v>8</v>
      </c>
      <c r="H15" s="1">
        <v>4</v>
      </c>
      <c r="I15" s="1">
        <v>15</v>
      </c>
      <c r="J15" s="1">
        <v>13</v>
      </c>
    </row>
    <row r="16" spans="1:10" x14ac:dyDescent="0.25">
      <c r="A16" s="1">
        <v>15</v>
      </c>
      <c r="B16" s="1" t="str">
        <f>Tree!I15</f>
        <v>Node 7</v>
      </c>
      <c r="C16" s="1">
        <f>Tree!J15</f>
        <v>10348958</v>
      </c>
      <c r="D16" s="3">
        <f>Tree!K17</f>
        <v>0.5</v>
      </c>
      <c r="E16" s="1" t="str">
        <f>Tree!L17</f>
        <v>Node 15</v>
      </c>
      <c r="F16" s="1">
        <f>Tree!M17</f>
        <v>10302083</v>
      </c>
      <c r="G16" s="1" t="s">
        <v>8</v>
      </c>
      <c r="H16" s="1">
        <v>4</v>
      </c>
      <c r="I16" s="1">
        <v>17</v>
      </c>
      <c r="J16" s="1">
        <v>13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31"/>
  <sheetViews>
    <sheetView showGridLines="0" showRowColHeaders="0" workbookViewId="0">
      <selection activeCell="G3" sqref="G3"/>
    </sheetView>
  </sheetViews>
  <sheetFormatPr defaultColWidth="9.109375" defaultRowHeight="13.2" x14ac:dyDescent="0.25"/>
  <cols>
    <col min="1" max="1" width="1" style="14" customWidth="1"/>
    <col min="2" max="2" width="2.44140625" style="15" customWidth="1"/>
    <col min="3" max="3" width="3.109375" style="14" customWidth="1"/>
    <col min="4" max="4" width="56.88671875" style="14" customWidth="1"/>
    <col min="5" max="5" width="53.5546875" style="14" customWidth="1"/>
    <col min="6" max="16384" width="9.109375" style="14"/>
  </cols>
  <sheetData>
    <row r="1" spans="1:5" s="13" customFormat="1" ht="27" customHeight="1" x14ac:dyDescent="0.25">
      <c r="A1" s="57" t="s">
        <v>21</v>
      </c>
      <c r="B1" s="57"/>
      <c r="C1" s="57"/>
      <c r="D1" s="57"/>
      <c r="E1" s="58"/>
    </row>
    <row r="2" spans="1:5" ht="6" customHeight="1" x14ac:dyDescent="0.25"/>
    <row r="3" spans="1:5" ht="15.6" x14ac:dyDescent="0.3">
      <c r="B3" s="16" t="s">
        <v>22</v>
      </c>
    </row>
    <row r="4" spans="1:5" x14ac:dyDescent="0.25">
      <c r="B4" s="15" t="s">
        <v>23</v>
      </c>
    </row>
    <row r="5" spans="1:5" ht="6" customHeight="1" x14ac:dyDescent="0.25"/>
    <row r="6" spans="1:5" ht="12.75" customHeight="1" x14ac:dyDescent="0.25">
      <c r="B6" s="17" t="s">
        <v>24</v>
      </c>
      <c r="C6" s="14" t="s">
        <v>25</v>
      </c>
    </row>
    <row r="7" spans="1:5" ht="3.9" customHeight="1" x14ac:dyDescent="0.25"/>
    <row r="8" spans="1:5" ht="18.75" customHeight="1" x14ac:dyDescent="0.25">
      <c r="C8" s="18"/>
      <c r="D8" s="19" t="s">
        <v>26</v>
      </c>
      <c r="E8" s="20" t="s">
        <v>27</v>
      </c>
    </row>
    <row r="9" spans="1:5" x14ac:dyDescent="0.25">
      <c r="C9" s="21"/>
      <c r="D9" s="22"/>
      <c r="E9" s="23"/>
    </row>
    <row r="10" spans="1:5" x14ac:dyDescent="0.25">
      <c r="C10" s="21"/>
      <c r="D10" s="22"/>
      <c r="E10" s="23"/>
    </row>
    <row r="11" spans="1:5" x14ac:dyDescent="0.25">
      <c r="C11" s="21"/>
      <c r="D11" s="22"/>
      <c r="E11" s="23"/>
    </row>
    <row r="12" spans="1:5" x14ac:dyDescent="0.25">
      <c r="C12" s="21"/>
      <c r="D12" s="22"/>
      <c r="E12" s="23"/>
    </row>
    <row r="13" spans="1:5" x14ac:dyDescent="0.25">
      <c r="C13" s="21"/>
      <c r="D13" s="22"/>
      <c r="E13" s="23"/>
    </row>
    <row r="14" spans="1:5" x14ac:dyDescent="0.25">
      <c r="C14" s="21"/>
      <c r="D14" s="22"/>
      <c r="E14" s="23"/>
    </row>
    <row r="15" spans="1:5" x14ac:dyDescent="0.25">
      <c r="C15" s="24"/>
      <c r="D15" s="22"/>
      <c r="E15" s="23"/>
    </row>
    <row r="16" spans="1:5" x14ac:dyDescent="0.25">
      <c r="C16" s="24"/>
      <c r="D16" s="22"/>
      <c r="E16" s="23"/>
    </row>
    <row r="17" spans="2:5" x14ac:dyDescent="0.25">
      <c r="C17" s="24"/>
      <c r="D17" s="22"/>
      <c r="E17" s="23"/>
    </row>
    <row r="18" spans="2:5" x14ac:dyDescent="0.25">
      <c r="C18" s="24"/>
      <c r="D18" s="22"/>
      <c r="E18" s="23"/>
    </row>
    <row r="19" spans="2:5" x14ac:dyDescent="0.25">
      <c r="C19" s="24"/>
      <c r="D19" s="22"/>
      <c r="E19" s="23"/>
    </row>
    <row r="20" spans="2:5" x14ac:dyDescent="0.25">
      <c r="C20" s="25"/>
      <c r="D20" s="26"/>
      <c r="E20" s="27"/>
    </row>
    <row r="21" spans="2:5" ht="6" customHeight="1" x14ac:dyDescent="0.25">
      <c r="C21" s="28"/>
      <c r="D21" s="29"/>
      <c r="E21" s="30"/>
    </row>
    <row r="22" spans="2:5" x14ac:dyDescent="0.25">
      <c r="C22" s="56" t="s">
        <v>28</v>
      </c>
      <c r="D22" s="56"/>
    </row>
    <row r="23" spans="2:5" x14ac:dyDescent="0.25">
      <c r="C23" s="28"/>
      <c r="D23" s="31" t="s">
        <v>34</v>
      </c>
    </row>
    <row r="24" spans="2:5" x14ac:dyDescent="0.25">
      <c r="C24" s="28"/>
      <c r="D24" s="28"/>
    </row>
    <row r="25" spans="2:5" x14ac:dyDescent="0.25">
      <c r="B25" s="17" t="s">
        <v>29</v>
      </c>
      <c r="C25" s="32" t="s">
        <v>35</v>
      </c>
      <c r="D25" s="32"/>
    </row>
    <row r="26" spans="2:5" x14ac:dyDescent="0.25">
      <c r="C26" s="33" t="s">
        <v>28</v>
      </c>
      <c r="D26" s="33"/>
    </row>
    <row r="27" spans="2:5" ht="15" customHeight="1" x14ac:dyDescent="0.25">
      <c r="C27" s="34" t="s">
        <v>30</v>
      </c>
      <c r="D27" s="32" t="s">
        <v>36</v>
      </c>
    </row>
    <row r="28" spans="2:5" x14ac:dyDescent="0.25">
      <c r="C28" s="34"/>
      <c r="D28" s="32" t="s">
        <v>37</v>
      </c>
    </row>
    <row r="29" spans="2:5" x14ac:dyDescent="0.25">
      <c r="C29" s="14" t="s">
        <v>31</v>
      </c>
      <c r="D29" s="32" t="s">
        <v>38</v>
      </c>
    </row>
    <row r="30" spans="2:5" x14ac:dyDescent="0.25">
      <c r="C30" s="14" t="s">
        <v>32</v>
      </c>
      <c r="D30" s="32" t="s">
        <v>33</v>
      </c>
    </row>
    <row r="31" spans="2:5" x14ac:dyDescent="0.25">
      <c r="D31" s="32" t="s">
        <v>39</v>
      </c>
    </row>
  </sheetData>
  <mergeCells count="2">
    <mergeCell ref="C22:D22"/>
    <mergeCell ref="A1:E1"/>
  </mergeCells>
  <phoneticPr fontId="0" type="noConversion"/>
  <pageMargins left="0.75" right="0.75" top="0.77" bottom="0.64" header="0.5" footer="0.5"/>
  <pageSetup orientation="landscape" r:id="rId1"/>
  <headerFooter alignWithMargins="0">
    <oddHeader>&amp;C&amp;F, &amp;A, p. &amp;P of &amp;N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Directions</vt:lpstr>
      <vt:lpstr>Tree</vt:lpstr>
      <vt:lpstr>Data</vt:lpstr>
      <vt:lpstr>Warning</vt:lpstr>
      <vt:lpstr>BranchFormula</vt:lpstr>
      <vt:lpstr>column</vt:lpstr>
      <vt:lpstr>FromLabel</vt:lpstr>
      <vt:lpstr>FromValue</vt:lpstr>
      <vt:lpstr>Level</vt:lpstr>
      <vt:lpstr>Number</vt:lpstr>
      <vt:lpstr>row</vt:lpstr>
      <vt:lpstr>ToLabel</vt:lpstr>
      <vt:lpstr>ToType</vt:lpstr>
      <vt:lpstr>ToValue</vt:lpstr>
    </vt:vector>
  </TitlesOfParts>
  <Company>Cornell Univ.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McClain</dc:creator>
  <cp:lastModifiedBy>GRW</cp:lastModifiedBy>
  <cp:lastPrinted>2003-09-05T17:47:53Z</cp:lastPrinted>
  <dcterms:created xsi:type="dcterms:W3CDTF">2003-06-25T14:34:04Z</dcterms:created>
  <dcterms:modified xsi:type="dcterms:W3CDTF">2015-02-18T20:23:02Z</dcterms:modified>
</cp:coreProperties>
</file>