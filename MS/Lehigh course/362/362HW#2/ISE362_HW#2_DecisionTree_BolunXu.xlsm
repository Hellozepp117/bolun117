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Bolun\Desktop\362\362HW#2\"/>
    </mc:Choice>
  </mc:AlternateContent>
  <bookViews>
    <workbookView xWindow="0" yWindow="0" windowWidth="28800" windowHeight="12420" tabRatio="656"/>
  </bookViews>
  <sheets>
    <sheet name="Tree" sheetId="9" r:id="rId1"/>
    <sheet name="Data" sheetId="16" state="hidden" r:id="rId2"/>
  </sheets>
  <functionGroups builtInGroupCount="18"/>
  <externalReferences>
    <externalReference r:id="rId3"/>
    <externalReference r:id="rId4"/>
  </externalReferences>
  <definedNames>
    <definedName name="a">[1]E!$D$139</definedName>
    <definedName name="AgeCoef">[2]Devel!$C$8</definedName>
    <definedName name="AgeSqCoef">[2]Devel!$J$8</definedName>
    <definedName name="Averages">#REF!</definedName>
    <definedName name="b">#REF!</definedName>
    <definedName name="BranchFormula">Data!$D$2:$D$65536</definedName>
    <definedName name="cc">[1]E!$D$141</definedName>
    <definedName name="column">Data!$J$2:$J$65536</definedName>
    <definedName name="Data">#REF!</definedName>
    <definedName name="Data2">#REF!</definedName>
    <definedName name="devs">[2]Devel!$K$13:$K$82</definedName>
    <definedName name="Dist1">#REF!</definedName>
    <definedName name="ExponentialData">#REF!</definedName>
    <definedName name="extremum">[2]Quadratic!$AC$17</definedName>
    <definedName name="FromLabel">Data!$B$2:$B$65536</definedName>
    <definedName name="FromValue">Data!$C$2:$C$65536</definedName>
    <definedName name="GrandMean">#REF!</definedName>
    <definedName name="Hist">#REF!</definedName>
    <definedName name="Level">Data!$H$2:$H$65536</definedName>
    <definedName name="Number">Data!$A$2:$A$65536</definedName>
    <definedName name="old">[2]Dummy!$P$3</definedName>
    <definedName name="OldCoef">[2]Dummy!$P$27</definedName>
    <definedName name="OldCount">[2]Dummy!$Q$3</definedName>
    <definedName name="pAge">[2]Devel!$C$9</definedName>
    <definedName name="pAgeSq">[2]Devel!$J$9</definedName>
    <definedName name="POld">[2]Dummy!$S$27</definedName>
    <definedName name="_xlnm.Print_Area">#REF!</definedName>
    <definedName name="PYoung">[2]Dummy!$S$26</definedName>
    <definedName name="rands">[2]Devel!$L$13:$L$82</definedName>
    <definedName name="ResGT2">[2]Quadratic!$N$2</definedName>
    <definedName name="row">Data!$I$2:$I$65536</definedName>
    <definedName name="ToLabel">Data!$E$2:$E$65536</definedName>
    <definedName name="ToType">Data!$G$2:$G$65536</definedName>
    <definedName name="ToValue">Data!$F$2:$F$65536</definedName>
    <definedName name="x">#REF!</definedName>
    <definedName name="Xstar">[1]E!$D$146</definedName>
    <definedName name="y">#REF!</definedName>
    <definedName name="young">[2]Dummy!$P$2</definedName>
    <definedName name="YoungCoef">[2]Dummy!$P$26</definedName>
    <definedName name="YoungCount">[2]Dummy!$Q$2</definedName>
  </definedNames>
  <calcPr calcId="152511"/>
</workbook>
</file>

<file path=xl/calcChain.xml><?xml version="1.0" encoding="utf-8"?>
<calcChain xmlns="http://schemas.openxmlformats.org/spreadsheetml/2006/main">
  <c r="D3" i="9" l="1"/>
  <c r="M17" i="9"/>
  <c r="M15" i="9"/>
  <c r="M13" i="9"/>
  <c r="M11" i="9"/>
  <c r="M3" i="9"/>
  <c r="M9" i="9"/>
  <c r="M7" i="9"/>
  <c r="M5" i="9"/>
  <c r="J15" i="9" l="1"/>
  <c r="F8" i="16" s="1"/>
  <c r="J11" i="9"/>
  <c r="C14" i="16" s="1"/>
  <c r="J7" i="9"/>
  <c r="C11" i="16" s="1"/>
  <c r="J3" i="9"/>
  <c r="F5" i="16" s="1"/>
  <c r="F16" i="16"/>
  <c r="E16" i="16"/>
  <c r="D16" i="16"/>
  <c r="B16" i="16"/>
  <c r="F15" i="16"/>
  <c r="E15" i="16"/>
  <c r="D15" i="16"/>
  <c r="B15" i="16"/>
  <c r="F14" i="16"/>
  <c r="E14" i="16"/>
  <c r="D14" i="16"/>
  <c r="B14" i="16"/>
  <c r="F13" i="16"/>
  <c r="E13" i="16"/>
  <c r="D13" i="16"/>
  <c r="B13" i="16"/>
  <c r="F12" i="16"/>
  <c r="E12" i="16"/>
  <c r="D12" i="16"/>
  <c r="B12" i="16"/>
  <c r="F11" i="16"/>
  <c r="E11" i="16"/>
  <c r="D11" i="16"/>
  <c r="B11" i="16"/>
  <c r="F10" i="16"/>
  <c r="E10" i="16"/>
  <c r="D10" i="16"/>
  <c r="B10" i="16"/>
  <c r="F9" i="16"/>
  <c r="E9" i="16"/>
  <c r="D9" i="16"/>
  <c r="B9" i="16"/>
  <c r="E8" i="16"/>
  <c r="D8" i="16"/>
  <c r="B8" i="16"/>
  <c r="E7" i="16"/>
  <c r="D7" i="16"/>
  <c r="B7" i="16"/>
  <c r="E6" i="16"/>
  <c r="D6" i="16"/>
  <c r="B6" i="16"/>
  <c r="E5" i="16"/>
  <c r="D5" i="16"/>
  <c r="B5" i="16"/>
  <c r="E4" i="16"/>
  <c r="B4" i="16"/>
  <c r="E3" i="16"/>
  <c r="B3" i="16"/>
  <c r="E2" i="16"/>
  <c r="C10" i="16" l="1"/>
  <c r="C16" i="16"/>
  <c r="C15" i="16"/>
  <c r="F7" i="16"/>
  <c r="C13" i="16"/>
  <c r="G11" i="9"/>
  <c r="F6" i="16"/>
  <c r="C12" i="16"/>
  <c r="G3" i="9"/>
  <c r="C9" i="16"/>
  <c r="E3" i="9" l="1"/>
  <c r="D3" i="16" s="1"/>
  <c r="C7" i="16"/>
  <c r="F4" i="16"/>
  <c r="C8" i="16"/>
  <c r="C6" i="16"/>
  <c r="C5" i="16"/>
  <c r="F3" i="16"/>
  <c r="C3" i="16" l="1"/>
  <c r="C4" i="16"/>
  <c r="F2" i="16"/>
  <c r="E11" i="9"/>
  <c r="D4" i="16" s="1"/>
</calcChain>
</file>

<file path=xl/sharedStrings.xml><?xml version="1.0" encoding="utf-8"?>
<sst xmlns="http://schemas.openxmlformats.org/spreadsheetml/2006/main" count="56" uniqueCount="29">
  <si>
    <t>Number</t>
  </si>
  <si>
    <t>Level</t>
  </si>
  <si>
    <t>ToLabel</t>
  </si>
  <si>
    <t>ToValue</t>
  </si>
  <si>
    <t>row</t>
  </si>
  <si>
    <t>column</t>
  </si>
  <si>
    <t>ToType</t>
  </si>
  <si>
    <t>Decision</t>
  </si>
  <si>
    <t>Terminal</t>
  </si>
  <si>
    <t>Probability</t>
  </si>
  <si>
    <t>FromLabel</t>
  </si>
  <si>
    <t>FromValue</t>
  </si>
  <si>
    <t>BranchFormula</t>
  </si>
  <si>
    <t>High demand in this year</t>
  </si>
  <si>
    <t>Low demand in this year</t>
  </si>
  <si>
    <t>High demand in next year</t>
  </si>
  <si>
    <t>Low demand in next year</t>
  </si>
  <si>
    <t>Total Cost</t>
  </si>
  <si>
    <t>MultiChem</t>
  </si>
  <si>
    <t>Mixemat</t>
  </si>
  <si>
    <t>110000*1.2/1.2+132000*1.2/1.2^2</t>
  </si>
  <si>
    <t>←</t>
  </si>
  <si>
    <t>110000*1.2/1.2+99000*1.2/1.2^2</t>
  </si>
  <si>
    <t>100000*1.2/1.2+120000*1.2/1.2^2</t>
  </si>
  <si>
    <t>100000*1.2/1.2+90000*1.2/1.2^2</t>
  </si>
  <si>
    <t>(90000*0.9+20000*4)/1.2+(90000*0.9+42000*4)/1.2^2</t>
  </si>
  <si>
    <t>(90000*0.9+20000*4)/1.2+99000*0.9/1.2^2</t>
  </si>
  <si>
    <t>100000*0.9/1.2+(90000*0.9+30000*4)/1.2^2</t>
  </si>
  <si>
    <t>100000*0.9/1.2+90000*0.9/1.2^2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</si>
</sst>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  <font>
      <sz val="10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NumberFormat="1" applyAlignment="1">
      <alignment horizontal="center"/>
    </xf>
    <xf numFmtId="0" fontId="3" fillId="0" borderId="2" xfId="0" applyFont="1" applyBorder="1" applyAlignment="1" applyProtection="1">
      <alignment horizontal="left"/>
    </xf>
    <xf numFmtId="0" fontId="0" fillId="0" borderId="2" xfId="0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center"/>
    </xf>
    <xf numFmtId="0" fontId="0" fillId="2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  <protection locked="0"/>
    </xf>
    <xf numFmtId="0" fontId="2" fillId="0" borderId="0" xfId="0" applyFont="1"/>
    <xf numFmtId="0" fontId="5" fillId="0" borderId="0" xfId="0" applyFont="1"/>
  </cellXfs>
  <cellStyles count="1">
    <cellStyle name="常规" xfId="0" builtinId="0"/>
  </cellStyles>
  <dxfs count="2">
    <dxf>
      <font>
        <b/>
        <i val="0"/>
        <u val="double"/>
        <color indexed="17"/>
      </font>
    </dxf>
    <dxf>
      <font>
        <b/>
        <i val="0"/>
        <u val="double"/>
        <color indexed="1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38100</xdr:rowOff>
    </xdr:from>
    <xdr:to>
      <xdr:col>8</xdr:col>
      <xdr:colOff>643467</xdr:colOff>
      <xdr:row>1</xdr:row>
      <xdr:rowOff>129540</xdr:rowOff>
    </xdr:to>
    <xdr:grpSp>
      <xdr:nvGrpSpPr>
        <xdr:cNvPr id="6248" name="Group 104"/>
        <xdr:cNvGrpSpPr>
          <a:grpSpLocks/>
        </xdr:cNvGrpSpPr>
      </xdr:nvGrpSpPr>
      <xdr:grpSpPr bwMode="auto">
        <a:xfrm>
          <a:off x="361244" y="38100"/>
          <a:ext cx="4183945" cy="253718"/>
          <a:chOff x="38" y="4"/>
          <a:chExt cx="439" cy="26"/>
        </a:xfrm>
      </xdr:grpSpPr>
      <xdr:sp macro="" textlink="">
        <xdr:nvSpPr>
          <xdr:cNvPr id="6247" name="Text Box 103"/>
          <xdr:cNvSpPr txBox="1">
            <a:spLocks noChangeArrowheads="1"/>
          </xdr:cNvSpPr>
        </xdr:nvSpPr>
        <xdr:spPr bwMode="auto">
          <a:xfrm>
            <a:off x="41" y="4"/>
            <a:ext cx="349" cy="2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Now                                                                      Future</a:t>
            </a:r>
          </a:p>
        </xdr:txBody>
      </xdr:sp>
      <xdr:sp macro="" textlink="">
        <xdr:nvSpPr>
          <xdr:cNvPr id="6246" name="Line 102"/>
          <xdr:cNvSpPr>
            <a:spLocks noChangeShapeType="1"/>
          </xdr:cNvSpPr>
        </xdr:nvSpPr>
        <xdr:spPr bwMode="auto">
          <a:xfrm>
            <a:off x="38" y="21"/>
            <a:ext cx="4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563033</xdr:colOff>
          <xdr:row>0</xdr:row>
          <xdr:rowOff>57150</xdr:rowOff>
        </xdr:from>
        <xdr:to>
          <xdr:col>6</xdr:col>
          <xdr:colOff>47978</xdr:colOff>
          <xdr:row>1</xdr:row>
          <xdr:rowOff>95250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Model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U.O.L\ABCDEF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DESKTOP\16OutWrkF9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F"/>
      <sheetName val="F x"/>
      <sheetName val="F (3)"/>
      <sheetName val="F (4)"/>
    </sheetNames>
    <sheetDataSet>
      <sheetData sheetId="0"/>
      <sheetData sheetId="1"/>
      <sheetData sheetId="2"/>
      <sheetData sheetId="3"/>
      <sheetData sheetId="4">
        <row r="139">
          <cell r="D139">
            <v>3</v>
          </cell>
        </row>
        <row r="141">
          <cell r="D141">
            <v>45</v>
          </cell>
        </row>
        <row r="146">
          <cell r="D146">
            <v>4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DialVars"/>
      <sheetName val="OutOfWork"/>
      <sheetName val="Question"/>
      <sheetName val="Solution"/>
      <sheetName val="Devel"/>
      <sheetName val="Linear"/>
      <sheetName val="Quadratic"/>
      <sheetName val="SimpAge"/>
      <sheetName val="Dummy"/>
      <sheetName val="ConfInt"/>
    </sheetNames>
    <sheetDataSet>
      <sheetData sheetId="0" refreshError="1"/>
      <sheetData sheetId="1"/>
      <sheetData sheetId="2"/>
      <sheetData sheetId="3"/>
      <sheetData sheetId="4"/>
      <sheetData sheetId="5">
        <row r="8">
          <cell r="C8">
            <v>0.70892867141638893</v>
          </cell>
          <cell r="J8">
            <v>-9.1967902828151836E-4</v>
          </cell>
        </row>
        <row r="9">
          <cell r="C9">
            <v>0.55651707216241353</v>
          </cell>
          <cell r="J9">
            <v>0.9578039871119034</v>
          </cell>
        </row>
        <row r="13">
          <cell r="K13">
            <v>-1.2785926628566813</v>
          </cell>
          <cell r="L13">
            <v>0.45820911509508733</v>
          </cell>
        </row>
        <row r="14">
          <cell r="K14">
            <v>-1.0373196346336044</v>
          </cell>
          <cell r="L14">
            <v>0.76426431405707262</v>
          </cell>
        </row>
        <row r="15">
          <cell r="K15">
            <v>-0.55009422794682905</v>
          </cell>
          <cell r="L15">
            <v>-0.25101826395257376</v>
          </cell>
        </row>
        <row r="16">
          <cell r="K16">
            <v>2.3849497665651143</v>
          </cell>
          <cell r="L16">
            <v>0.56840463003027253</v>
          </cell>
        </row>
        <row r="17">
          <cell r="K17">
            <v>-0.14829311112407595</v>
          </cell>
          <cell r="L17">
            <v>-0.86733734860899858</v>
          </cell>
        </row>
        <row r="18">
          <cell r="K18">
            <v>0.18648620425665285</v>
          </cell>
          <cell r="L18">
            <v>0.18583591554488521</v>
          </cell>
        </row>
        <row r="19">
          <cell r="K19">
            <v>1.7031561583280563</v>
          </cell>
          <cell r="L19">
            <v>-1.0038866093964316</v>
          </cell>
        </row>
        <row r="20">
          <cell r="K20">
            <v>0.60999582274234854</v>
          </cell>
          <cell r="L20">
            <v>0.61682840168941766</v>
          </cell>
        </row>
        <row r="21">
          <cell r="K21">
            <v>-0.42203282646369189</v>
          </cell>
          <cell r="L21">
            <v>1.2408963812049478</v>
          </cell>
        </row>
        <row r="22">
          <cell r="K22">
            <v>-0.15049295143398922</v>
          </cell>
          <cell r="L22">
            <v>-1.0529629435040988</v>
          </cell>
        </row>
        <row r="23">
          <cell r="K23">
            <v>-0.98469627118902281</v>
          </cell>
          <cell r="L23">
            <v>-0.44586272451851983</v>
          </cell>
        </row>
        <row r="24">
          <cell r="K24">
            <v>-0.39709789234620985</v>
          </cell>
          <cell r="L24">
            <v>0.5247159151622327</v>
          </cell>
        </row>
        <row r="25">
          <cell r="K25">
            <v>-1.483685991843231</v>
          </cell>
          <cell r="L25">
            <v>-1.1631527740973979</v>
          </cell>
        </row>
        <row r="26">
          <cell r="K26">
            <v>-0.39325868783635087</v>
          </cell>
          <cell r="L26">
            <v>1.6235298971878365</v>
          </cell>
        </row>
        <row r="27">
          <cell r="K27">
            <v>-0.79957999332691543</v>
          </cell>
          <cell r="L27">
            <v>1.9963408703915775E-2</v>
          </cell>
        </row>
        <row r="28">
          <cell r="K28">
            <v>1.6089052223833278</v>
          </cell>
          <cell r="L28">
            <v>0.82760607256204821</v>
          </cell>
        </row>
        <row r="29">
          <cell r="K29">
            <v>-0.45837396100978367</v>
          </cell>
          <cell r="L29">
            <v>0.95429868451901712</v>
          </cell>
        </row>
        <row r="30">
          <cell r="K30">
            <v>0.44013404476572759</v>
          </cell>
          <cell r="L30">
            <v>0.38154666981426999</v>
          </cell>
        </row>
        <row r="31">
          <cell r="K31">
            <v>-0.19592562239267863</v>
          </cell>
          <cell r="L31">
            <v>-1.3470162230078131</v>
          </cell>
        </row>
        <row r="32">
          <cell r="K32">
            <v>0.91006086222478189</v>
          </cell>
          <cell r="L32">
            <v>-6.9474026531679556E-2</v>
          </cell>
        </row>
        <row r="33">
          <cell r="K33">
            <v>-0.42384272092022002</v>
          </cell>
          <cell r="L33">
            <v>-8.2203541751368903E-2</v>
          </cell>
        </row>
        <row r="34">
          <cell r="K34">
            <v>-0.4524804353422951</v>
          </cell>
          <cell r="L34">
            <v>1.857001734606456</v>
          </cell>
        </row>
        <row r="35">
          <cell r="K35">
            <v>-2.9319835448404774E-3</v>
          </cell>
          <cell r="L35">
            <v>3.5256380215287209</v>
          </cell>
        </row>
        <row r="36">
          <cell r="K36">
            <v>-0.73080173024209216</v>
          </cell>
          <cell r="L36">
            <v>-0.65848553276737221</v>
          </cell>
        </row>
        <row r="37">
          <cell r="K37">
            <v>-2.2501808416564018</v>
          </cell>
          <cell r="L37">
            <v>-2.345550456084311</v>
          </cell>
        </row>
        <row r="38">
          <cell r="K38">
            <v>-0.286772774416022</v>
          </cell>
          <cell r="L38">
            <v>0.16304397831845563</v>
          </cell>
        </row>
        <row r="39">
          <cell r="K39">
            <v>-7.0076566771604121E-3</v>
          </cell>
          <cell r="L39">
            <v>-1.9002709450433031</v>
          </cell>
        </row>
        <row r="40">
          <cell r="K40">
            <v>-0.32984189601847902</v>
          </cell>
          <cell r="L40">
            <v>-0.12629698176169768</v>
          </cell>
        </row>
        <row r="41">
          <cell r="K41">
            <v>-0.79512687989335973</v>
          </cell>
          <cell r="L41">
            <v>0.17744469005265273</v>
          </cell>
        </row>
        <row r="42">
          <cell r="K42">
            <v>3.1016043067211285E-2</v>
          </cell>
          <cell r="L42">
            <v>1.2691543815890327</v>
          </cell>
        </row>
        <row r="43">
          <cell r="K43">
            <v>0.60900447351741605</v>
          </cell>
          <cell r="L43">
            <v>-0.91368292487459257</v>
          </cell>
        </row>
        <row r="44">
          <cell r="K44">
            <v>1.7297588783549145</v>
          </cell>
          <cell r="L44">
            <v>-0.68270537667558528</v>
          </cell>
        </row>
        <row r="45">
          <cell r="K45">
            <v>4.3207819544477388E-2</v>
          </cell>
          <cell r="L45">
            <v>0.40046643334790133</v>
          </cell>
        </row>
        <row r="46">
          <cell r="K46">
            <v>-0.91208221419947222</v>
          </cell>
          <cell r="L46">
            <v>1.4446277418755926</v>
          </cell>
        </row>
        <row r="47">
          <cell r="K47">
            <v>0.90713683675858192</v>
          </cell>
          <cell r="L47">
            <v>2.2717722458764911</v>
          </cell>
        </row>
        <row r="48">
          <cell r="K48">
            <v>0.67594783104141243</v>
          </cell>
          <cell r="L48">
            <v>1.9298749975860119</v>
          </cell>
        </row>
        <row r="49">
          <cell r="K49">
            <v>-1.0200778888247442</v>
          </cell>
          <cell r="L49">
            <v>0.38446842154371552</v>
          </cell>
        </row>
        <row r="50">
          <cell r="K50">
            <v>0.62437720771413296</v>
          </cell>
          <cell r="L50">
            <v>-0.49598725126998033</v>
          </cell>
        </row>
        <row r="51">
          <cell r="K51">
            <v>-0.43475210986798629</v>
          </cell>
          <cell r="L51">
            <v>-1.0755275070550852</v>
          </cell>
        </row>
        <row r="52">
          <cell r="K52">
            <v>-0.76391188486013561</v>
          </cell>
          <cell r="L52">
            <v>-1.099940618587425</v>
          </cell>
        </row>
        <row r="53">
          <cell r="K53">
            <v>-0.43340378397260793</v>
          </cell>
          <cell r="L53">
            <v>-0.24745986593188718</v>
          </cell>
        </row>
        <row r="54">
          <cell r="K54">
            <v>-0.65978611019090749</v>
          </cell>
          <cell r="L54">
            <v>-1.5667637853766792</v>
          </cell>
        </row>
        <row r="55">
          <cell r="K55">
            <v>0.30899059311195742</v>
          </cell>
          <cell r="L55">
            <v>0.41048451748793013</v>
          </cell>
        </row>
        <row r="56">
          <cell r="K56">
            <v>-9.279233381676022E-2</v>
          </cell>
          <cell r="L56">
            <v>0.51293682190589607</v>
          </cell>
        </row>
        <row r="57">
          <cell r="K57">
            <v>0.17130560081568547</v>
          </cell>
          <cell r="L57">
            <v>-0.45783281166222878</v>
          </cell>
        </row>
        <row r="58">
          <cell r="K58">
            <v>-0.53536496125161648</v>
          </cell>
          <cell r="L58">
            <v>0.98739974419004284</v>
          </cell>
        </row>
        <row r="59">
          <cell r="K59">
            <v>0.41898147173924372</v>
          </cell>
          <cell r="L59">
            <v>-0.67623204813571647</v>
          </cell>
        </row>
        <row r="60">
          <cell r="K60">
            <v>-1.7858019418781623</v>
          </cell>
          <cell r="L60">
            <v>1.4443094187299721</v>
          </cell>
        </row>
        <row r="61">
          <cell r="K61">
            <v>-1.1156816981383599</v>
          </cell>
          <cell r="L61">
            <v>0.71473095886176452</v>
          </cell>
        </row>
        <row r="62">
          <cell r="K62">
            <v>0.78002358350204304</v>
          </cell>
          <cell r="L62">
            <v>-1.2820805750379805</v>
          </cell>
        </row>
        <row r="63">
          <cell r="K63">
            <v>-0.91855554273934104</v>
          </cell>
          <cell r="L63">
            <v>1.5731120583950542</v>
          </cell>
        </row>
        <row r="64">
          <cell r="K64">
            <v>0.56653789215488359</v>
          </cell>
          <cell r="L64">
            <v>-3.8235157262533903E-2</v>
          </cell>
        </row>
        <row r="65">
          <cell r="K65">
            <v>0.70910346039454453</v>
          </cell>
          <cell r="L65">
            <v>-0.78440507422783412</v>
          </cell>
        </row>
        <row r="66">
          <cell r="K66">
            <v>-0.152180064105778</v>
          </cell>
          <cell r="L66">
            <v>-1.68892256624531</v>
          </cell>
        </row>
        <row r="67">
          <cell r="K67">
            <v>-0.76752257882617414</v>
          </cell>
          <cell r="L67">
            <v>0.71942395152291283</v>
          </cell>
        </row>
        <row r="68">
          <cell r="K68">
            <v>1.1095789886894636</v>
          </cell>
          <cell r="L68">
            <v>-1.9581784727051854</v>
          </cell>
        </row>
        <row r="69">
          <cell r="K69">
            <v>-0.66605252868612297</v>
          </cell>
          <cell r="L69">
            <v>-2.3941174731589854</v>
          </cell>
        </row>
        <row r="70">
          <cell r="K70">
            <v>0.2677222710190108</v>
          </cell>
          <cell r="L70">
            <v>-0.35513039620127529</v>
          </cell>
        </row>
        <row r="71">
          <cell r="K71">
            <v>0.42962483348674141</v>
          </cell>
          <cell r="L71">
            <v>-7.4173840403091162E-2</v>
          </cell>
        </row>
        <row r="72">
          <cell r="K72">
            <v>-7.4135186878265813E-3</v>
          </cell>
          <cell r="L72">
            <v>-1.032462932926137</v>
          </cell>
        </row>
        <row r="73">
          <cell r="K73">
            <v>0.60389311329345219</v>
          </cell>
          <cell r="L73">
            <v>0.26372958927822765</v>
          </cell>
        </row>
        <row r="74">
          <cell r="K74">
            <v>1.202424755319953</v>
          </cell>
          <cell r="L74">
            <v>-1.2467694432416465</v>
          </cell>
        </row>
        <row r="75">
          <cell r="K75">
            <v>-0.19646449800347909</v>
          </cell>
          <cell r="L75">
            <v>0.66431766754249111</v>
          </cell>
        </row>
        <row r="76">
          <cell r="K76">
            <v>-0.25577037376933731</v>
          </cell>
          <cell r="L76">
            <v>0.81633402260194998</v>
          </cell>
        </row>
        <row r="77">
          <cell r="K77">
            <v>-8.8760998551151715E-2</v>
          </cell>
          <cell r="L77">
            <v>-0.81273583418806084</v>
          </cell>
        </row>
        <row r="78">
          <cell r="K78">
            <v>-0.73335058914381079</v>
          </cell>
          <cell r="L78">
            <v>1.9951676222262904</v>
          </cell>
        </row>
        <row r="79">
          <cell r="K79">
            <v>1.1296469892840832</v>
          </cell>
          <cell r="L79">
            <v>-0.85384499470819719</v>
          </cell>
        </row>
        <row r="80">
          <cell r="K80">
            <v>-0.37152631193748675</v>
          </cell>
          <cell r="L80">
            <v>0.48850324674276635</v>
          </cell>
        </row>
        <row r="81">
          <cell r="K81">
            <v>-0.87185071606654674</v>
          </cell>
          <cell r="L81">
            <v>-0.93466724138124846</v>
          </cell>
        </row>
        <row r="82">
          <cell r="K82">
            <v>-1.9420622265897691</v>
          </cell>
          <cell r="L82">
            <v>0.51250708565930836</v>
          </cell>
        </row>
      </sheetData>
      <sheetData sheetId="6"/>
      <sheetData sheetId="7">
        <row r="2">
          <cell r="N2">
            <v>3</v>
          </cell>
        </row>
        <row r="17">
          <cell r="AC17">
            <v>385.4</v>
          </cell>
        </row>
      </sheetData>
      <sheetData sheetId="8"/>
      <sheetData sheetId="9">
        <row r="2">
          <cell r="P2">
            <v>25</v>
          </cell>
          <cell r="Q2">
            <v>11</v>
          </cell>
        </row>
        <row r="3">
          <cell r="P3">
            <v>40</v>
          </cell>
          <cell r="Q3">
            <v>20</v>
          </cell>
        </row>
        <row r="26">
          <cell r="P26">
            <v>-4.6667035612008787</v>
          </cell>
          <cell r="S26">
            <v>0.16964144188092789</v>
          </cell>
        </row>
        <row r="27">
          <cell r="P27">
            <v>6.9993421687889859</v>
          </cell>
          <cell r="S27">
            <v>2.1660398816025762E-2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2:O17"/>
  <sheetViews>
    <sheetView showGridLines="0" tabSelected="1" zoomScale="135" workbookViewId="0">
      <selection activeCell="D6" sqref="D6"/>
    </sheetView>
  </sheetViews>
  <sheetFormatPr defaultRowHeight="12.75" x14ac:dyDescent="0.2"/>
  <cols>
    <col min="1" max="1" width="3.7109375" bestFit="1" customWidth="1"/>
    <col min="2" max="2" width="2" customWidth="1"/>
    <col min="3" max="3" width="9.7109375" bestFit="1" customWidth="1"/>
    <col min="4" max="4" width="10.5703125" bestFit="1" customWidth="1"/>
    <col min="5" max="5" width="4.5703125" bestFit="1" customWidth="1"/>
    <col min="6" max="6" width="10" bestFit="1" customWidth="1"/>
    <col min="7" max="7" width="12.5703125" bestFit="1" customWidth="1"/>
    <col min="8" max="8" width="5.28515625" bestFit="1" customWidth="1"/>
    <col min="9" max="9" width="22.140625" bestFit="1" customWidth="1"/>
    <col min="10" max="10" width="12.5703125" bestFit="1" customWidth="1"/>
    <col min="11" max="11" width="5.28515625" bestFit="1" customWidth="1"/>
    <col min="12" max="12" width="22.85546875" bestFit="1" customWidth="1"/>
    <col min="13" max="13" width="12.5703125" bestFit="1" customWidth="1"/>
    <col min="14" max="14" width="2.85546875" bestFit="1" customWidth="1"/>
    <col min="15" max="15" width="47.5703125" bestFit="1" customWidth="1"/>
    <col min="16" max="16" width="2" bestFit="1" customWidth="1"/>
  </cols>
  <sheetData>
    <row r="2" spans="3:15" ht="13.5" thickBot="1" x14ac:dyDescent="0.25"/>
    <row r="3" spans="3:15" ht="13.5" thickBot="1" x14ac:dyDescent="0.25">
      <c r="C3" s="10" t="s">
        <v>17</v>
      </c>
      <c r="D3" s="8">
        <f>MIN(G3,G11)</f>
        <v>208281.25</v>
      </c>
      <c r="E3" s="4" t="str">
        <f>IF(D3=G3,"Yes","No")</f>
        <v>Yes</v>
      </c>
      <c r="F3" s="11" t="s">
        <v>18</v>
      </c>
      <c r="G3" s="6">
        <f>H3*J3+H7*J7</f>
        <v>208281.25</v>
      </c>
      <c r="H3" s="5">
        <v>0.75</v>
      </c>
      <c r="I3" s="7" t="s">
        <v>13</v>
      </c>
      <c r="J3" s="6">
        <f>K3*M3+K5*M5</f>
        <v>213125</v>
      </c>
      <c r="K3" s="5">
        <v>0.75</v>
      </c>
      <c r="L3" s="9" t="s">
        <v>15</v>
      </c>
      <c r="M3" s="12">
        <f>110000*1.2/1.2+132000*1.2/1.2^2</f>
        <v>220000</v>
      </c>
      <c r="N3" s="13" t="s">
        <v>21</v>
      </c>
      <c r="O3" s="12" t="s">
        <v>20</v>
      </c>
    </row>
    <row r="4" spans="3:15" ht="13.5" thickBot="1" x14ac:dyDescent="0.25">
      <c r="E4" s="2"/>
      <c r="H4" s="2"/>
      <c r="K4" s="2"/>
    </row>
    <row r="5" spans="3:15" ht="13.5" thickBot="1" x14ac:dyDescent="0.25">
      <c r="E5" s="2"/>
      <c r="H5" s="2"/>
      <c r="K5" s="5">
        <v>0.25</v>
      </c>
      <c r="L5" s="9" t="s">
        <v>16</v>
      </c>
      <c r="M5" s="12">
        <f>110000*1.2/1.2+99000*1.2/1.2^2</f>
        <v>192500</v>
      </c>
      <c r="N5" s="13" t="s">
        <v>21</v>
      </c>
      <c r="O5" s="12" t="s">
        <v>22</v>
      </c>
    </row>
    <row r="6" spans="3:15" ht="13.5" thickBot="1" x14ac:dyDescent="0.25">
      <c r="E6" s="2"/>
      <c r="H6" s="2"/>
    </row>
    <row r="7" spans="3:15" ht="13.5" thickBot="1" x14ac:dyDescent="0.25">
      <c r="E7" s="2"/>
      <c r="H7" s="5">
        <v>0.25</v>
      </c>
      <c r="I7" s="7" t="s">
        <v>14</v>
      </c>
      <c r="J7" s="6">
        <f>K7*M7+K9*M9</f>
        <v>193750</v>
      </c>
      <c r="K7" s="5">
        <v>0.75</v>
      </c>
      <c r="L7" s="9" t="s">
        <v>15</v>
      </c>
      <c r="M7" s="12">
        <f>100000*1.2/1.2+120000*1.2/1.2^2</f>
        <v>200000</v>
      </c>
      <c r="N7" s="13" t="s">
        <v>21</v>
      </c>
      <c r="O7" s="12" t="s">
        <v>23</v>
      </c>
    </row>
    <row r="8" spans="3:15" ht="13.5" thickBot="1" x14ac:dyDescent="0.25">
      <c r="E8" s="2"/>
      <c r="K8" s="2"/>
    </row>
    <row r="9" spans="3:15" ht="13.5" thickBot="1" x14ac:dyDescent="0.25">
      <c r="E9" s="2"/>
      <c r="K9" s="5">
        <v>0.25</v>
      </c>
      <c r="L9" s="9" t="s">
        <v>16</v>
      </c>
      <c r="M9" s="12">
        <f>100000*1.2/1.2+90000*1.2/1.2^2</f>
        <v>175000</v>
      </c>
      <c r="N9" s="13" t="s">
        <v>21</v>
      </c>
      <c r="O9" s="12" t="s">
        <v>24</v>
      </c>
    </row>
    <row r="10" spans="3:15" ht="13.5" thickBot="1" x14ac:dyDescent="0.25">
      <c r="E10" s="2"/>
    </row>
    <row r="11" spans="3:15" ht="13.5" thickBot="1" x14ac:dyDescent="0.25">
      <c r="E11" s="4" t="str">
        <f>IF(D3=G11,"Yes","No")</f>
        <v>No</v>
      </c>
      <c r="F11" s="11" t="s">
        <v>19</v>
      </c>
      <c r="G11" s="6">
        <f>H11*J11+H15*J15</f>
        <v>257929.6875</v>
      </c>
      <c r="H11" s="5">
        <v>0.75</v>
      </c>
      <c r="I11" s="7" t="s">
        <v>13</v>
      </c>
      <c r="J11" s="6">
        <f>K11*M11+K13*M13</f>
        <v>279322.91666666669</v>
      </c>
      <c r="K11" s="5">
        <v>0.75</v>
      </c>
      <c r="L11" s="9" t="s">
        <v>15</v>
      </c>
      <c r="M11" s="12">
        <f>(90000*0.9+20000*4)/1.2+(90000*0.9+42000*4)/1.2^2</f>
        <v>307083.33333333337</v>
      </c>
      <c r="N11" s="13" t="s">
        <v>21</v>
      </c>
      <c r="O11" s="12" t="s">
        <v>25</v>
      </c>
    </row>
    <row r="12" spans="3:15" ht="13.5" thickBot="1" x14ac:dyDescent="0.25">
      <c r="H12" s="2"/>
      <c r="K12" s="2"/>
    </row>
    <row r="13" spans="3:15" ht="13.5" thickBot="1" x14ac:dyDescent="0.25">
      <c r="H13" s="2"/>
      <c r="K13" s="5">
        <v>0.25</v>
      </c>
      <c r="L13" s="9" t="s">
        <v>16</v>
      </c>
      <c r="M13" s="12">
        <f>(90000*0.9+20000*4)/1.2+99000*0.9/1.2^2</f>
        <v>196041.66666666669</v>
      </c>
      <c r="N13" s="13" t="s">
        <v>21</v>
      </c>
      <c r="O13" s="12" t="s">
        <v>26</v>
      </c>
    </row>
    <row r="14" spans="3:15" ht="13.5" thickBot="1" x14ac:dyDescent="0.25">
      <c r="H14" s="2"/>
    </row>
    <row r="15" spans="3:15" ht="13.5" thickBot="1" x14ac:dyDescent="0.25">
      <c r="H15" s="5">
        <v>0.25</v>
      </c>
      <c r="I15" s="7" t="s">
        <v>14</v>
      </c>
      <c r="J15" s="6">
        <f>K15*M15+K17*M17</f>
        <v>193750</v>
      </c>
      <c r="K15" s="5">
        <v>0.75</v>
      </c>
      <c r="L15" s="9" t="s">
        <v>15</v>
      </c>
      <c r="M15" s="12">
        <f>100000*0.9/1.2+(90000*0.9+30000*4)/1.2^2</f>
        <v>214583.33333333334</v>
      </c>
      <c r="N15" s="13" t="s">
        <v>21</v>
      </c>
      <c r="O15" s="12" t="s">
        <v>27</v>
      </c>
    </row>
    <row r="16" spans="3:15" ht="13.5" thickBot="1" x14ac:dyDescent="0.25">
      <c r="K16" s="2"/>
    </row>
    <row r="17" spans="11:15" ht="13.5" thickBot="1" x14ac:dyDescent="0.25">
      <c r="K17" s="5">
        <v>0.25</v>
      </c>
      <c r="L17" s="9" t="s">
        <v>16</v>
      </c>
      <c r="M17" s="12">
        <f>100000*0.9/1.2+90000*0.9/1.2^2</f>
        <v>131250</v>
      </c>
      <c r="N17" s="13" t="s">
        <v>21</v>
      </c>
      <c r="O17" s="12" t="s">
        <v>28</v>
      </c>
    </row>
  </sheetData>
  <phoneticPr fontId="1" type="noConversion"/>
  <conditionalFormatting sqref="E3">
    <cfRule type="cellIs" dxfId="1" priority="1" stopIfTrue="1" operator="equal">
      <formula>"Yes"</formula>
    </cfRule>
  </conditionalFormatting>
  <conditionalFormatting sqref="E11">
    <cfRule type="cellIs" dxfId="0" priority="2" stopIfTrue="1" operator="equal">
      <formula>"Yes"</formula>
    </cfRule>
  </conditionalFormatting>
  <pageMargins left="0.75" right="0.75" top="1" bottom="1" header="0.5" footer="0.5"/>
  <pageSetup orientation="landscape" r:id="rId1"/>
  <headerFooter alignWithMargins="0">
    <oddHeader>&amp;L&amp;A&amp;C&amp;F&amp;RPage  &amp;P of 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5" r:id="rId4" name="Button 101">
              <controlPr defaultSize="0" print="0" autoFill="0" autoPict="0" macro="[0]!EditTree">
                <anchor>
                  <from>
                    <xdr:col>3</xdr:col>
                    <xdr:colOff>561975</xdr:colOff>
                    <xdr:row>0</xdr:row>
                    <xdr:rowOff>57150</xdr:rowOff>
                  </from>
                  <to>
                    <xdr:col>6</xdr:col>
                    <xdr:colOff>47625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"/>
  <sheetViews>
    <sheetView workbookViewId="0">
      <selection activeCell="B28" sqref="B28"/>
    </sheetView>
  </sheetViews>
  <sheetFormatPr defaultColWidth="9.140625" defaultRowHeight="12.75" x14ac:dyDescent="0.2"/>
  <cols>
    <col min="1" max="1" width="9.140625" style="1"/>
    <col min="2" max="2" width="9.7109375" style="1" bestFit="1" customWidth="1"/>
    <col min="3" max="3" width="9.7109375" style="1" customWidth="1"/>
    <col min="4" max="4" width="13.7109375" style="3" bestFit="1" customWidth="1"/>
    <col min="5" max="5" width="9.7109375" style="1" bestFit="1" customWidth="1"/>
    <col min="6" max="6" width="7.7109375" style="1" bestFit="1" customWidth="1"/>
    <col min="7" max="7" width="9.85546875" style="1" bestFit="1" customWidth="1"/>
    <col min="8" max="8" width="11.42578125" style="1" bestFit="1" customWidth="1"/>
    <col min="9" max="9" width="9.5703125" style="1" bestFit="1" customWidth="1"/>
    <col min="10" max="16384" width="9.140625" style="1"/>
  </cols>
  <sheetData>
    <row r="1" spans="1:10" x14ac:dyDescent="0.2">
      <c r="A1" s="1" t="s">
        <v>0</v>
      </c>
      <c r="B1" s="1" t="s">
        <v>10</v>
      </c>
      <c r="C1" s="1" t="s">
        <v>11</v>
      </c>
      <c r="D1" s="3" t="s">
        <v>12</v>
      </c>
      <c r="E1" s="1" t="s">
        <v>2</v>
      </c>
      <c r="F1" s="1" t="s">
        <v>3</v>
      </c>
      <c r="G1" s="1" t="s">
        <v>6</v>
      </c>
      <c r="H1" s="1" t="s">
        <v>1</v>
      </c>
      <c r="I1" s="1" t="s">
        <v>4</v>
      </c>
      <c r="J1" s="1" t="s">
        <v>5</v>
      </c>
    </row>
    <row r="2" spans="1:10" x14ac:dyDescent="0.2">
      <c r="A2" s="1">
        <v>1</v>
      </c>
      <c r="E2" s="1" t="str">
        <f>Tree!C3</f>
        <v>Total Cost</v>
      </c>
      <c r="F2" s="1">
        <f>Tree!D3</f>
        <v>208281.25</v>
      </c>
      <c r="G2" s="1" t="s">
        <v>7</v>
      </c>
      <c r="H2" s="1">
        <v>1</v>
      </c>
      <c r="I2" s="1">
        <v>3</v>
      </c>
      <c r="J2" s="1">
        <v>4</v>
      </c>
    </row>
    <row r="3" spans="1:10" x14ac:dyDescent="0.2">
      <c r="A3" s="1">
        <v>2</v>
      </c>
      <c r="B3" s="1" t="str">
        <f>Tree!C3</f>
        <v>Total Cost</v>
      </c>
      <c r="C3" s="1">
        <f>Tree!D3</f>
        <v>208281.25</v>
      </c>
      <c r="D3" s="3" t="str">
        <f>Tree!E3</f>
        <v>Yes</v>
      </c>
      <c r="E3" s="1" t="str">
        <f>Tree!F3</f>
        <v>MultiChem</v>
      </c>
      <c r="F3" s="1">
        <f>Tree!G3</f>
        <v>208281.25</v>
      </c>
      <c r="G3" s="1" t="s">
        <v>9</v>
      </c>
      <c r="H3" s="1">
        <v>2</v>
      </c>
      <c r="I3" s="1">
        <v>3</v>
      </c>
      <c r="J3" s="1">
        <v>7</v>
      </c>
    </row>
    <row r="4" spans="1:10" x14ac:dyDescent="0.2">
      <c r="A4" s="1">
        <v>3</v>
      </c>
      <c r="B4" s="1" t="str">
        <f>Tree!C3</f>
        <v>Total Cost</v>
      </c>
      <c r="C4" s="1">
        <f>Tree!D3</f>
        <v>208281.25</v>
      </c>
      <c r="D4" s="3" t="str">
        <f>Tree!E11</f>
        <v>No</v>
      </c>
      <c r="E4" s="1" t="str">
        <f>Tree!F11</f>
        <v>Mixemat</v>
      </c>
      <c r="F4" s="1">
        <f>Tree!G11</f>
        <v>257929.6875</v>
      </c>
      <c r="G4" s="1" t="s">
        <v>9</v>
      </c>
      <c r="H4" s="1">
        <v>2</v>
      </c>
      <c r="I4" s="1">
        <v>11</v>
      </c>
      <c r="J4" s="1">
        <v>7</v>
      </c>
    </row>
    <row r="5" spans="1:10" x14ac:dyDescent="0.2">
      <c r="A5" s="1">
        <v>4</v>
      </c>
      <c r="B5" s="1" t="str">
        <f>Tree!F3</f>
        <v>MultiChem</v>
      </c>
      <c r="C5" s="1">
        <f>Tree!G3</f>
        <v>208281.25</v>
      </c>
      <c r="D5" s="3">
        <f>Tree!H3</f>
        <v>0.75</v>
      </c>
      <c r="E5" s="1" t="str">
        <f>Tree!I3</f>
        <v>High demand in this year</v>
      </c>
      <c r="F5" s="1">
        <f>Tree!J3</f>
        <v>213125</v>
      </c>
      <c r="G5" s="1" t="s">
        <v>9</v>
      </c>
      <c r="H5" s="1">
        <v>3</v>
      </c>
      <c r="I5" s="1">
        <v>3</v>
      </c>
      <c r="J5" s="1">
        <v>10</v>
      </c>
    </row>
    <row r="6" spans="1:10" x14ac:dyDescent="0.2">
      <c r="A6" s="1">
        <v>5</v>
      </c>
      <c r="B6" s="1" t="str">
        <f>Tree!F3</f>
        <v>MultiChem</v>
      </c>
      <c r="C6" s="1">
        <f>Tree!G3</f>
        <v>208281.25</v>
      </c>
      <c r="D6" s="3">
        <f>Tree!H7</f>
        <v>0.25</v>
      </c>
      <c r="E6" s="1" t="str">
        <f>Tree!I7</f>
        <v>Low demand in this year</v>
      </c>
      <c r="F6" s="1">
        <f>Tree!J7</f>
        <v>193750</v>
      </c>
      <c r="G6" s="1" t="s">
        <v>9</v>
      </c>
      <c r="H6" s="1">
        <v>3</v>
      </c>
      <c r="I6" s="1">
        <v>7</v>
      </c>
      <c r="J6" s="1">
        <v>10</v>
      </c>
    </row>
    <row r="7" spans="1:10" x14ac:dyDescent="0.2">
      <c r="A7" s="1">
        <v>6</v>
      </c>
      <c r="B7" s="1" t="str">
        <f>Tree!F11</f>
        <v>Mixemat</v>
      </c>
      <c r="C7" s="1">
        <f>Tree!G11</f>
        <v>257929.6875</v>
      </c>
      <c r="D7" s="3">
        <f>Tree!H11</f>
        <v>0.75</v>
      </c>
      <c r="E7" s="1" t="str">
        <f>Tree!I11</f>
        <v>High demand in this year</v>
      </c>
      <c r="F7" s="1">
        <f>Tree!J11</f>
        <v>279322.91666666669</v>
      </c>
      <c r="G7" s="1" t="s">
        <v>9</v>
      </c>
      <c r="H7" s="1">
        <v>3</v>
      </c>
      <c r="I7" s="1">
        <v>11</v>
      </c>
      <c r="J7" s="1">
        <v>10</v>
      </c>
    </row>
    <row r="8" spans="1:10" x14ac:dyDescent="0.2">
      <c r="A8" s="1">
        <v>7</v>
      </c>
      <c r="B8" s="1" t="str">
        <f>Tree!F11</f>
        <v>Mixemat</v>
      </c>
      <c r="C8" s="1">
        <f>Tree!G11</f>
        <v>257929.6875</v>
      </c>
      <c r="D8" s="3">
        <f>Tree!H15</f>
        <v>0.25</v>
      </c>
      <c r="E8" s="1" t="str">
        <f>Tree!I15</f>
        <v>Low demand in this year</v>
      </c>
      <c r="F8" s="1">
        <f>Tree!J15</f>
        <v>193750</v>
      </c>
      <c r="G8" s="1" t="s">
        <v>9</v>
      </c>
      <c r="H8" s="1">
        <v>3</v>
      </c>
      <c r="I8" s="1">
        <v>15</v>
      </c>
      <c r="J8" s="1">
        <v>10</v>
      </c>
    </row>
    <row r="9" spans="1:10" x14ac:dyDescent="0.2">
      <c r="A9" s="1">
        <v>8</v>
      </c>
      <c r="B9" s="1" t="str">
        <f>Tree!I3</f>
        <v>High demand in this year</v>
      </c>
      <c r="C9" s="1">
        <f>Tree!J3</f>
        <v>213125</v>
      </c>
      <c r="D9" s="3">
        <f>Tree!K3</f>
        <v>0.75</v>
      </c>
      <c r="E9" s="1" t="str">
        <f>Tree!L3</f>
        <v>High demand in next year</v>
      </c>
      <c r="F9" s="1">
        <f>Tree!M3</f>
        <v>220000</v>
      </c>
      <c r="G9" s="1" t="s">
        <v>8</v>
      </c>
      <c r="H9" s="1">
        <v>4</v>
      </c>
      <c r="I9" s="1">
        <v>3</v>
      </c>
      <c r="J9" s="1">
        <v>13</v>
      </c>
    </row>
    <row r="10" spans="1:10" x14ac:dyDescent="0.2">
      <c r="A10" s="1">
        <v>9</v>
      </c>
      <c r="B10" s="1" t="str">
        <f>Tree!I3</f>
        <v>High demand in this year</v>
      </c>
      <c r="C10" s="1">
        <f>Tree!J3</f>
        <v>213125</v>
      </c>
      <c r="D10" s="3">
        <f>Tree!K5</f>
        <v>0.25</v>
      </c>
      <c r="E10" s="1" t="str">
        <f>Tree!L5</f>
        <v>Low demand in next year</v>
      </c>
      <c r="F10" s="1">
        <f>Tree!M5</f>
        <v>192500</v>
      </c>
      <c r="G10" s="1" t="s">
        <v>8</v>
      </c>
      <c r="H10" s="1">
        <v>4</v>
      </c>
      <c r="I10" s="1">
        <v>5</v>
      </c>
      <c r="J10" s="1">
        <v>13</v>
      </c>
    </row>
    <row r="11" spans="1:10" x14ac:dyDescent="0.2">
      <c r="A11" s="1">
        <v>10</v>
      </c>
      <c r="B11" s="1" t="str">
        <f>Tree!I7</f>
        <v>Low demand in this year</v>
      </c>
      <c r="C11" s="1">
        <f>Tree!J7</f>
        <v>193750</v>
      </c>
      <c r="D11" s="3">
        <f>Tree!K7</f>
        <v>0.75</v>
      </c>
      <c r="E11" s="1" t="str">
        <f>Tree!L7</f>
        <v>High demand in next year</v>
      </c>
      <c r="F11" s="1">
        <f>Tree!M7</f>
        <v>200000</v>
      </c>
      <c r="G11" s="1" t="s">
        <v>8</v>
      </c>
      <c r="H11" s="1">
        <v>4</v>
      </c>
      <c r="I11" s="1">
        <v>7</v>
      </c>
      <c r="J11" s="1">
        <v>13</v>
      </c>
    </row>
    <row r="12" spans="1:10" x14ac:dyDescent="0.2">
      <c r="A12" s="1">
        <v>11</v>
      </c>
      <c r="B12" s="1" t="str">
        <f>Tree!I7</f>
        <v>Low demand in this year</v>
      </c>
      <c r="C12" s="1">
        <f>Tree!J7</f>
        <v>193750</v>
      </c>
      <c r="D12" s="3">
        <f>Tree!K9</f>
        <v>0.25</v>
      </c>
      <c r="E12" s="1" t="str">
        <f>Tree!L9</f>
        <v>Low demand in next year</v>
      </c>
      <c r="F12" s="1">
        <f>Tree!M9</f>
        <v>175000</v>
      </c>
      <c r="G12" s="1" t="s">
        <v>8</v>
      </c>
      <c r="H12" s="1">
        <v>4</v>
      </c>
      <c r="I12" s="1">
        <v>9</v>
      </c>
      <c r="J12" s="1">
        <v>13</v>
      </c>
    </row>
    <row r="13" spans="1:10" x14ac:dyDescent="0.2">
      <c r="A13" s="1">
        <v>12</v>
      </c>
      <c r="B13" s="1" t="str">
        <f>Tree!I11</f>
        <v>High demand in this year</v>
      </c>
      <c r="C13" s="1">
        <f>Tree!J11</f>
        <v>279322.91666666669</v>
      </c>
      <c r="D13" s="3">
        <f>Tree!K11</f>
        <v>0.75</v>
      </c>
      <c r="E13" s="1" t="str">
        <f>Tree!L11</f>
        <v>High demand in next year</v>
      </c>
      <c r="F13" s="1">
        <f>Tree!M11</f>
        <v>307083.33333333337</v>
      </c>
      <c r="G13" s="1" t="s">
        <v>8</v>
      </c>
      <c r="H13" s="1">
        <v>4</v>
      </c>
      <c r="I13" s="1">
        <v>11</v>
      </c>
      <c r="J13" s="1">
        <v>13</v>
      </c>
    </row>
    <row r="14" spans="1:10" x14ac:dyDescent="0.2">
      <c r="A14" s="1">
        <v>13</v>
      </c>
      <c r="B14" s="1" t="str">
        <f>Tree!I11</f>
        <v>High demand in this year</v>
      </c>
      <c r="C14" s="1">
        <f>Tree!J11</f>
        <v>279322.91666666669</v>
      </c>
      <c r="D14" s="3">
        <f>Tree!K13</f>
        <v>0.25</v>
      </c>
      <c r="E14" s="1" t="str">
        <f>Tree!L13</f>
        <v>Low demand in next year</v>
      </c>
      <c r="F14" s="1">
        <f>Tree!M13</f>
        <v>196041.66666666669</v>
      </c>
      <c r="G14" s="1" t="s">
        <v>8</v>
      </c>
      <c r="H14" s="1">
        <v>4</v>
      </c>
      <c r="I14" s="1">
        <v>13</v>
      </c>
      <c r="J14" s="1">
        <v>13</v>
      </c>
    </row>
    <row r="15" spans="1:10" x14ac:dyDescent="0.2">
      <c r="A15" s="1">
        <v>14</v>
      </c>
      <c r="B15" s="1" t="str">
        <f>Tree!I15</f>
        <v>Low demand in this year</v>
      </c>
      <c r="C15" s="1">
        <f>Tree!J15</f>
        <v>193750</v>
      </c>
      <c r="D15" s="3">
        <f>Tree!K15</f>
        <v>0.75</v>
      </c>
      <c r="E15" s="1" t="str">
        <f>Tree!L15</f>
        <v>High demand in next year</v>
      </c>
      <c r="F15" s="1">
        <f>Tree!M15</f>
        <v>214583.33333333334</v>
      </c>
      <c r="G15" s="1" t="s">
        <v>8</v>
      </c>
      <c r="H15" s="1">
        <v>4</v>
      </c>
      <c r="I15" s="1">
        <v>15</v>
      </c>
      <c r="J15" s="1">
        <v>13</v>
      </c>
    </row>
    <row r="16" spans="1:10" x14ac:dyDescent="0.2">
      <c r="A16" s="1">
        <v>15</v>
      </c>
      <c r="B16" s="1" t="str">
        <f>Tree!I15</f>
        <v>Low demand in this year</v>
      </c>
      <c r="C16" s="1">
        <f>Tree!J15</f>
        <v>193750</v>
      </c>
      <c r="D16" s="3">
        <f>Tree!K17</f>
        <v>0.25</v>
      </c>
      <c r="E16" s="1" t="str">
        <f>Tree!L17</f>
        <v>Low demand in next year</v>
      </c>
      <c r="F16" s="1">
        <f>Tree!M17</f>
        <v>131250</v>
      </c>
      <c r="G16" s="1" t="s">
        <v>8</v>
      </c>
      <c r="H16" s="1">
        <v>4</v>
      </c>
      <c r="I16" s="1">
        <v>17</v>
      </c>
      <c r="J16" s="1">
        <v>13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10</vt:i4>
      </vt:variant>
    </vt:vector>
  </HeadingPairs>
  <TitlesOfParts>
    <vt:vector size="12" baseType="lpstr">
      <vt:lpstr>Tree</vt:lpstr>
      <vt:lpstr>Data</vt:lpstr>
      <vt:lpstr>BranchFormula</vt:lpstr>
      <vt:lpstr>column</vt:lpstr>
      <vt:lpstr>FromLabel</vt:lpstr>
      <vt:lpstr>FromValue</vt:lpstr>
      <vt:lpstr>Level</vt:lpstr>
      <vt:lpstr>Number</vt:lpstr>
      <vt:lpstr>row</vt:lpstr>
      <vt:lpstr>ToLabel</vt:lpstr>
      <vt:lpstr>ToType</vt:lpstr>
      <vt:lpstr>ToValue</vt:lpstr>
    </vt:vector>
  </TitlesOfParts>
  <Company>Cornell Univ.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McClain</dc:creator>
  <cp:lastModifiedBy>Bolun Xu</cp:lastModifiedBy>
  <cp:lastPrinted>2003-09-05T17:47:53Z</cp:lastPrinted>
  <dcterms:created xsi:type="dcterms:W3CDTF">2003-06-25T14:34:04Z</dcterms:created>
  <dcterms:modified xsi:type="dcterms:W3CDTF">2016-03-01T22:39:45Z</dcterms:modified>
</cp:coreProperties>
</file>